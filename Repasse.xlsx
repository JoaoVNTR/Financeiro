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b5c92e1b1a667af/Área de Trabalho/faturamento/"/>
    </mc:Choice>
  </mc:AlternateContent>
  <xr:revisionPtr revIDLastSave="1" documentId="8_{274C214E-40D9-447F-87AF-4DE964E1D13E}" xr6:coauthVersionLast="47" xr6:coauthVersionMax="47" xr10:uidLastSave="{E80FA16A-D5D7-4ACD-8409-DA8A3A9DCEE5}"/>
  <bookViews>
    <workbookView xWindow="-28920" yWindow="-3915" windowWidth="29040" windowHeight="15720" xr2:uid="{7312FC1A-F563-4D09-A125-E1314866FDBA}"/>
  </bookViews>
  <sheets>
    <sheet name="REPASSE" sheetId="1" r:id="rId1"/>
  </sheets>
  <definedNames>
    <definedName name="_xlnm._FilterDatabase" localSheetId="0" hidden="1">REPASSE!$A$1:$H$1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" i="1" l="1"/>
  <c r="G2" i="1"/>
  <c r="H2" i="1"/>
  <c r="F3" i="1"/>
  <c r="G3" i="1"/>
  <c r="H3" i="1"/>
  <c r="F4" i="1"/>
  <c r="H4" i="1" s="1"/>
  <c r="G4" i="1"/>
  <c r="F5" i="1"/>
  <c r="H5" i="1" s="1"/>
  <c r="G5" i="1"/>
  <c r="F6" i="1"/>
  <c r="H6" i="1" s="1"/>
  <c r="G6" i="1"/>
  <c r="F7" i="1"/>
  <c r="G7" i="1"/>
  <c r="H7" i="1"/>
  <c r="F8" i="1"/>
  <c r="H8" i="1" s="1"/>
  <c r="G8" i="1"/>
  <c r="F9" i="1"/>
  <c r="G9" i="1"/>
  <c r="H9" i="1"/>
  <c r="F10" i="1"/>
  <c r="G10" i="1"/>
  <c r="H10" i="1"/>
  <c r="F11" i="1"/>
  <c r="G11" i="1"/>
  <c r="H11" i="1"/>
  <c r="F12" i="1"/>
  <c r="G12" i="1"/>
  <c r="H12" i="1" s="1"/>
  <c r="F13" i="1"/>
  <c r="H13" i="1" s="1"/>
  <c r="G13" i="1"/>
  <c r="F14" i="1"/>
  <c r="G14" i="1"/>
  <c r="H14" i="1" s="1"/>
  <c r="F15" i="1"/>
  <c r="G15" i="1"/>
  <c r="H15" i="1"/>
  <c r="F16" i="1"/>
  <c r="H16" i="1" s="1"/>
  <c r="G16" i="1"/>
  <c r="F17" i="1"/>
  <c r="G17" i="1"/>
  <c r="H17" i="1"/>
  <c r="F18" i="1"/>
  <c r="G18" i="1"/>
  <c r="H18" i="1"/>
  <c r="F19" i="1"/>
  <c r="G19" i="1"/>
  <c r="H19" i="1"/>
  <c r="F20" i="1"/>
  <c r="G20" i="1"/>
  <c r="H20" i="1" s="1"/>
  <c r="F21" i="1"/>
  <c r="H21" i="1" s="1"/>
  <c r="G21" i="1"/>
</calcChain>
</file>

<file path=xl/sharedStrings.xml><?xml version="1.0" encoding="utf-8"?>
<sst xmlns="http://schemas.openxmlformats.org/spreadsheetml/2006/main" count="88" uniqueCount="38">
  <si>
    <t>DEZEMBRO</t>
  </si>
  <si>
    <t xml:space="preserve">VIGNOLI </t>
  </si>
  <si>
    <t>REGINALDO ALENCAR</t>
  </si>
  <si>
    <t>SUNTEB GESTÃO</t>
  </si>
  <si>
    <t>GREENLIFE A - INICIA JUNHO</t>
  </si>
  <si>
    <t>MARFRAN</t>
  </si>
  <si>
    <t xml:space="preserve">COND.ED EAST SIDE </t>
  </si>
  <si>
    <t>ATL. DERCIO 1</t>
  </si>
  <si>
    <t>ROLIM</t>
  </si>
  <si>
    <t xml:space="preserve"> FAZENDA IPU TIJUCA</t>
  </si>
  <si>
    <t>REGINA ALIMENTOS</t>
  </si>
  <si>
    <t>GUARARAPES</t>
  </si>
  <si>
    <t>CEPECE 05</t>
  </si>
  <si>
    <t>CRISTAL AGROPECUÁRIA</t>
  </si>
  <si>
    <t>CEPECE 04</t>
  </si>
  <si>
    <t>IPU</t>
  </si>
  <si>
    <t>ATL. FÁTIMA 3</t>
  </si>
  <si>
    <t>MERC. LADEIRA GRANDE</t>
  </si>
  <si>
    <t>ATL. OBERDAN</t>
  </si>
  <si>
    <t>ATL FÁTIMA 3</t>
  </si>
  <si>
    <t>ATL. VARJOTA 01</t>
  </si>
  <si>
    <t>ATL. MANUT FGO</t>
  </si>
  <si>
    <t>ATL. SANTA RITA</t>
  </si>
  <si>
    <t>LUAN MACHADO</t>
  </si>
  <si>
    <t>ATL. SANTA CLARA</t>
  </si>
  <si>
    <t>ATL. CALIFORNIA</t>
  </si>
  <si>
    <t>ATL. PACATUBA</t>
  </si>
  <si>
    <t>ALEX USINA GRANDE</t>
  </si>
  <si>
    <t>POLE ALIMENTOS</t>
  </si>
  <si>
    <t>ALEX USINA PEQUENA</t>
  </si>
  <si>
    <t>TOTAL Á PAGAR</t>
  </si>
  <si>
    <t>DESCONTO NFS-E</t>
  </si>
  <si>
    <t>DESCONTO GESTÃO</t>
  </si>
  <si>
    <t>MÊS DE COMPETÊNCIA</t>
  </si>
  <si>
    <t>CLIENTE FINAL</t>
  </si>
  <si>
    <t>USINA</t>
  </si>
  <si>
    <t>GERADOR</t>
  </si>
  <si>
    <t>FATURAMENTO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</si>
</sst>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B54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">
    <xf numFmtId="0" fontId="0" fillId="0" borderId="0" xfId="0"/>
    <xf numFmtId="44" fontId="0" fillId="0" borderId="0" xfId="1" applyFont="1" applyAlignment="1">
      <alignment horizontal="center" vertical="center"/>
    </xf>
    <xf numFmtId="0" fontId="0" fillId="0" borderId="0" xfId="0" applyAlignment="1">
      <alignment horizontal="center" vertical="center"/>
    </xf>
    <xf numFmtId="44" fontId="2" fillId="2" borderId="0" xfId="1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65D39-B272-4BDB-AA66-04D7F2E886E7}">
  <dimension ref="A1:H160"/>
  <sheetViews>
    <sheetView tabSelected="1" workbookViewId="0">
      <selection activeCell="H2" sqref="H1:H2"/>
    </sheetView>
  </sheetViews>
  <sheetFormatPr defaultColWidth="8.44140625" defaultRowHeight="14.4" x14ac:dyDescent="0.3"/>
  <cols>
    <col min="1" max="1" width="19.33203125" style="2" bestFit="1" customWidth="1"/>
    <col min="2" max="2" width="25.5546875" style="2" bestFit="1" customWidth="1"/>
    <col min="3" max="3" width="29.33203125" style="2" bestFit="1" customWidth="1"/>
    <col min="4" max="4" width="20.44140625" style="2" bestFit="1" customWidth="1"/>
    <col min="5" max="5" width="28.44140625" style="1" bestFit="1" customWidth="1"/>
    <col min="6" max="6" width="17.88671875" style="1" bestFit="1" customWidth="1"/>
    <col min="7" max="7" width="16" style="1" bestFit="1" customWidth="1"/>
    <col min="8" max="8" width="14.5546875" style="1" bestFit="1" customWidth="1"/>
    <col min="9" max="9" width="14.5546875" bestFit="1" customWidth="1"/>
  </cols>
  <sheetData>
    <row r="1" spans="1:8" x14ac:dyDescent="0.3">
      <c r="A1" s="4" t="s">
        <v>36</v>
      </c>
      <c r="B1" s="4" t="s">
        <v>35</v>
      </c>
      <c r="C1" s="4" t="s">
        <v>34</v>
      </c>
      <c r="D1" s="4" t="s">
        <v>33</v>
      </c>
      <c r="E1" s="4" t="s">
        <v>37</v>
      </c>
      <c r="F1" s="3" t="s">
        <v>32</v>
      </c>
      <c r="G1" s="3" t="s">
        <v>31</v>
      </c>
      <c r="H1" s="3" t="s">
        <v>30</v>
      </c>
    </row>
    <row r="2" spans="1:8" x14ac:dyDescent="0.3">
      <c r="A2" s="2" t="s">
        <v>9</v>
      </c>
      <c r="B2" s="2" t="s">
        <v>29</v>
      </c>
      <c r="C2" s="2" t="s">
        <v>28</v>
      </c>
      <c r="D2" s="2" t="s">
        <v>0</v>
      </c>
      <c r="E2" s="1">
        <v>625.29999999999995</v>
      </c>
      <c r="F2" s="1">
        <f t="shared" ref="F2:F21" si="0">E2*0.1</f>
        <v>62.53</v>
      </c>
      <c r="G2" s="1">
        <f t="shared" ref="G2:G21" si="1">E2*0.1133</f>
        <v>70.846489999999989</v>
      </c>
      <c r="H2" s="1">
        <f t="shared" ref="H2:H21" si="2">E2-F2-G2</f>
        <v>491.92350999999996</v>
      </c>
    </row>
    <row r="3" spans="1:8" x14ac:dyDescent="0.3">
      <c r="A3" s="2" t="s">
        <v>9</v>
      </c>
      <c r="B3" s="2" t="s">
        <v>27</v>
      </c>
      <c r="C3" s="2" t="s">
        <v>26</v>
      </c>
      <c r="D3" s="2" t="s">
        <v>0</v>
      </c>
      <c r="E3" s="1">
        <v>4282.24</v>
      </c>
      <c r="F3" s="1">
        <f t="shared" si="0"/>
        <v>428.22399999999999</v>
      </c>
      <c r="G3" s="1">
        <f t="shared" si="1"/>
        <v>485.17779199999995</v>
      </c>
      <c r="H3" s="1">
        <f t="shared" si="2"/>
        <v>3368.8382079999997</v>
      </c>
    </row>
    <row r="4" spans="1:8" x14ac:dyDescent="0.3">
      <c r="A4" s="2" t="s">
        <v>9</v>
      </c>
      <c r="B4" s="2" t="s">
        <v>23</v>
      </c>
      <c r="C4" s="2" t="s">
        <v>25</v>
      </c>
      <c r="D4" s="2" t="s">
        <v>0</v>
      </c>
      <c r="E4" s="1">
        <v>170.24</v>
      </c>
      <c r="F4" s="1">
        <f t="shared" si="0"/>
        <v>17.024000000000001</v>
      </c>
      <c r="G4" s="1">
        <f t="shared" si="1"/>
        <v>19.288192000000002</v>
      </c>
      <c r="H4" s="1">
        <f t="shared" si="2"/>
        <v>133.927808</v>
      </c>
    </row>
    <row r="5" spans="1:8" x14ac:dyDescent="0.3">
      <c r="A5" s="2" t="s">
        <v>9</v>
      </c>
      <c r="B5" s="2" t="s">
        <v>23</v>
      </c>
      <c r="C5" s="2" t="s">
        <v>24</v>
      </c>
      <c r="D5" s="2" t="s">
        <v>0</v>
      </c>
      <c r="E5" s="1">
        <v>4209.28</v>
      </c>
      <c r="F5" s="1">
        <f t="shared" si="0"/>
        <v>420.928</v>
      </c>
      <c r="G5" s="1">
        <f t="shared" si="1"/>
        <v>476.91142399999995</v>
      </c>
      <c r="H5" s="1">
        <f t="shared" si="2"/>
        <v>3311.440576</v>
      </c>
    </row>
    <row r="6" spans="1:8" x14ac:dyDescent="0.3">
      <c r="A6" s="2" t="s">
        <v>9</v>
      </c>
      <c r="B6" s="2" t="s">
        <v>23</v>
      </c>
      <c r="C6" s="2" t="s">
        <v>22</v>
      </c>
      <c r="D6" s="2" t="s">
        <v>0</v>
      </c>
      <c r="E6" s="1">
        <v>16.899999999999999</v>
      </c>
      <c r="F6" s="1">
        <f t="shared" si="0"/>
        <v>1.69</v>
      </c>
      <c r="G6" s="1">
        <f t="shared" si="1"/>
        <v>1.9147699999999999</v>
      </c>
      <c r="H6" s="1">
        <f t="shared" si="2"/>
        <v>13.29523</v>
      </c>
    </row>
    <row r="7" spans="1:8" x14ac:dyDescent="0.3">
      <c r="A7" s="2" t="s">
        <v>9</v>
      </c>
      <c r="B7" s="2" t="s">
        <v>17</v>
      </c>
      <c r="C7" s="2" t="s">
        <v>7</v>
      </c>
      <c r="D7" s="2" t="s">
        <v>0</v>
      </c>
      <c r="E7" s="1">
        <v>103.9</v>
      </c>
      <c r="F7" s="1">
        <f t="shared" si="0"/>
        <v>10.39</v>
      </c>
      <c r="G7" s="1">
        <f t="shared" si="1"/>
        <v>11.77187</v>
      </c>
      <c r="H7" s="1">
        <f t="shared" si="2"/>
        <v>81.738130000000012</v>
      </c>
    </row>
    <row r="8" spans="1:8" x14ac:dyDescent="0.3">
      <c r="A8" s="2" t="s">
        <v>9</v>
      </c>
      <c r="B8" s="2" t="s">
        <v>17</v>
      </c>
      <c r="C8" s="2" t="s">
        <v>21</v>
      </c>
      <c r="D8" s="2" t="s">
        <v>0</v>
      </c>
      <c r="E8" s="1">
        <v>2209.35</v>
      </c>
      <c r="F8" s="1">
        <f t="shared" si="0"/>
        <v>220.935</v>
      </c>
      <c r="G8" s="1">
        <f t="shared" si="1"/>
        <v>250.31935499999997</v>
      </c>
      <c r="H8" s="1">
        <f t="shared" si="2"/>
        <v>1738.0956449999999</v>
      </c>
    </row>
    <row r="9" spans="1:8" x14ac:dyDescent="0.3">
      <c r="A9" s="2" t="s">
        <v>9</v>
      </c>
      <c r="B9" s="2" t="s">
        <v>17</v>
      </c>
      <c r="C9" s="2" t="s">
        <v>20</v>
      </c>
      <c r="D9" s="2" t="s">
        <v>0</v>
      </c>
      <c r="E9" s="1">
        <v>216.45</v>
      </c>
      <c r="F9" s="1">
        <f t="shared" si="0"/>
        <v>21.645</v>
      </c>
      <c r="G9" s="1">
        <f t="shared" si="1"/>
        <v>24.523784999999997</v>
      </c>
      <c r="H9" s="1">
        <f t="shared" si="2"/>
        <v>170.28121499999997</v>
      </c>
    </row>
    <row r="10" spans="1:8" hidden="1" x14ac:dyDescent="0.3">
      <c r="A10" s="2" t="s">
        <v>9</v>
      </c>
      <c r="B10" s="2" t="s">
        <v>17</v>
      </c>
      <c r="C10" s="2" t="s">
        <v>19</v>
      </c>
      <c r="D10" s="2" t="s">
        <v>0</v>
      </c>
      <c r="F10" s="1">
        <f t="shared" si="0"/>
        <v>0</v>
      </c>
      <c r="G10" s="1">
        <f t="shared" si="1"/>
        <v>0</v>
      </c>
      <c r="H10" s="1">
        <f t="shared" si="2"/>
        <v>0</v>
      </c>
    </row>
    <row r="11" spans="1:8" x14ac:dyDescent="0.3">
      <c r="A11" s="2" t="s">
        <v>9</v>
      </c>
      <c r="B11" s="2" t="s">
        <v>17</v>
      </c>
      <c r="C11" s="2" t="s">
        <v>18</v>
      </c>
      <c r="D11" s="2" t="s">
        <v>0</v>
      </c>
      <c r="E11" s="1">
        <v>182.4</v>
      </c>
      <c r="F11" s="1">
        <f t="shared" si="0"/>
        <v>18.240000000000002</v>
      </c>
      <c r="G11" s="1">
        <f t="shared" si="1"/>
        <v>20.66592</v>
      </c>
      <c r="H11" s="1">
        <f t="shared" si="2"/>
        <v>143.49408</v>
      </c>
    </row>
    <row r="12" spans="1:8" x14ac:dyDescent="0.3">
      <c r="A12" s="2" t="s">
        <v>9</v>
      </c>
      <c r="B12" s="2" t="s">
        <v>17</v>
      </c>
      <c r="C12" s="2" t="s">
        <v>16</v>
      </c>
      <c r="D12" s="2" t="s">
        <v>0</v>
      </c>
      <c r="E12" s="1">
        <v>1202.5</v>
      </c>
      <c r="F12" s="1">
        <f t="shared" si="0"/>
        <v>120.25</v>
      </c>
      <c r="G12" s="1">
        <f t="shared" si="1"/>
        <v>136.24324999999999</v>
      </c>
      <c r="H12" s="1">
        <f t="shared" si="2"/>
        <v>946.00675000000001</v>
      </c>
    </row>
    <row r="13" spans="1:8" x14ac:dyDescent="0.3">
      <c r="A13" s="2" t="s">
        <v>9</v>
      </c>
      <c r="B13" s="2" t="s">
        <v>15</v>
      </c>
      <c r="C13" s="2" t="s">
        <v>13</v>
      </c>
      <c r="D13" s="2" t="s">
        <v>0</v>
      </c>
      <c r="E13" s="1">
        <v>0</v>
      </c>
      <c r="F13" s="1">
        <f t="shared" si="0"/>
        <v>0</v>
      </c>
      <c r="G13" s="1">
        <f t="shared" si="1"/>
        <v>0</v>
      </c>
      <c r="H13" s="1">
        <f t="shared" si="2"/>
        <v>0</v>
      </c>
    </row>
    <row r="14" spans="1:8" x14ac:dyDescent="0.3">
      <c r="A14" s="2" t="s">
        <v>9</v>
      </c>
      <c r="B14" s="2" t="s">
        <v>14</v>
      </c>
      <c r="C14" s="2" t="s">
        <v>13</v>
      </c>
      <c r="D14" s="2" t="s">
        <v>0</v>
      </c>
      <c r="E14" s="1">
        <v>0</v>
      </c>
      <c r="F14" s="1">
        <f t="shared" si="0"/>
        <v>0</v>
      </c>
      <c r="G14" s="1">
        <f t="shared" si="1"/>
        <v>0</v>
      </c>
      <c r="H14" s="1">
        <f t="shared" si="2"/>
        <v>0</v>
      </c>
    </row>
    <row r="15" spans="1:8" x14ac:dyDescent="0.3">
      <c r="A15" s="2" t="s">
        <v>9</v>
      </c>
      <c r="B15" s="2" t="s">
        <v>12</v>
      </c>
      <c r="C15" s="2" t="s">
        <v>10</v>
      </c>
      <c r="D15" s="2" t="s">
        <v>0</v>
      </c>
      <c r="E15" s="1">
        <v>1301.1199999999999</v>
      </c>
      <c r="F15" s="1">
        <f t="shared" si="0"/>
        <v>130.11199999999999</v>
      </c>
      <c r="G15" s="1">
        <f t="shared" si="1"/>
        <v>147.41689599999998</v>
      </c>
      <c r="H15" s="1">
        <f t="shared" si="2"/>
        <v>1023.5911039999999</v>
      </c>
    </row>
    <row r="16" spans="1:8" x14ac:dyDescent="0.3">
      <c r="A16" s="2" t="s">
        <v>9</v>
      </c>
      <c r="B16" s="2" t="s">
        <v>11</v>
      </c>
      <c r="C16" s="2" t="s">
        <v>10</v>
      </c>
      <c r="D16" s="2" t="s">
        <v>0</v>
      </c>
      <c r="E16" s="1">
        <v>1301.1199999999999</v>
      </c>
      <c r="F16" s="1">
        <f t="shared" si="0"/>
        <v>130.11199999999999</v>
      </c>
      <c r="G16" s="1">
        <f t="shared" si="1"/>
        <v>147.41689599999998</v>
      </c>
      <c r="H16" s="1">
        <f t="shared" si="2"/>
        <v>1023.5911039999999</v>
      </c>
    </row>
    <row r="17" spans="1:8" x14ac:dyDescent="0.3">
      <c r="A17" s="2" t="s">
        <v>9</v>
      </c>
      <c r="B17" s="2" t="s">
        <v>8</v>
      </c>
      <c r="C17" s="2" t="s">
        <v>7</v>
      </c>
      <c r="D17" s="2" t="s">
        <v>0</v>
      </c>
      <c r="E17" s="1">
        <v>3385.3</v>
      </c>
      <c r="F17" s="1">
        <f t="shared" si="0"/>
        <v>338.53000000000003</v>
      </c>
      <c r="G17" s="1">
        <f t="shared" si="1"/>
        <v>383.55448999999999</v>
      </c>
      <c r="H17" s="1">
        <f t="shared" si="2"/>
        <v>2663.21551</v>
      </c>
    </row>
    <row r="18" spans="1:8" x14ac:dyDescent="0.3">
      <c r="A18" s="2" t="s">
        <v>3</v>
      </c>
      <c r="B18" s="2" t="s">
        <v>2</v>
      </c>
      <c r="C18" s="2" t="s">
        <v>6</v>
      </c>
      <c r="D18" s="2" t="s">
        <v>0</v>
      </c>
      <c r="E18" s="1">
        <v>2997.06</v>
      </c>
      <c r="F18" s="1">
        <f t="shared" si="0"/>
        <v>299.70600000000002</v>
      </c>
      <c r="G18" s="1">
        <f t="shared" si="1"/>
        <v>339.56689799999998</v>
      </c>
      <c r="H18" s="1">
        <f t="shared" si="2"/>
        <v>2357.7871019999998</v>
      </c>
    </row>
    <row r="19" spans="1:8" x14ac:dyDescent="0.3">
      <c r="A19" s="2" t="s">
        <v>3</v>
      </c>
      <c r="B19" s="2" t="s">
        <v>2</v>
      </c>
      <c r="C19" s="2" t="s">
        <v>5</v>
      </c>
      <c r="D19" s="2" t="s">
        <v>0</v>
      </c>
      <c r="E19" s="1">
        <v>9098.8799999999992</v>
      </c>
      <c r="F19" s="1">
        <f t="shared" si="0"/>
        <v>909.88799999999992</v>
      </c>
      <c r="G19" s="1">
        <f t="shared" si="1"/>
        <v>1030.903104</v>
      </c>
      <c r="H19" s="1">
        <f t="shared" si="2"/>
        <v>7158.0888959999993</v>
      </c>
    </row>
    <row r="20" spans="1:8" x14ac:dyDescent="0.3">
      <c r="A20" s="2" t="s">
        <v>3</v>
      </c>
      <c r="B20" s="2" t="s">
        <v>2</v>
      </c>
      <c r="C20" s="2" t="s">
        <v>4</v>
      </c>
      <c r="D20" s="2" t="s">
        <v>0</v>
      </c>
      <c r="E20" s="1">
        <v>8613.02</v>
      </c>
      <c r="F20" s="1">
        <f t="shared" si="0"/>
        <v>861.30200000000013</v>
      </c>
      <c r="G20" s="1">
        <f t="shared" si="1"/>
        <v>975.85516600000005</v>
      </c>
      <c r="H20" s="1">
        <f t="shared" si="2"/>
        <v>6775.8628340000005</v>
      </c>
    </row>
    <row r="21" spans="1:8" x14ac:dyDescent="0.3">
      <c r="A21" s="2" t="s">
        <v>3</v>
      </c>
      <c r="B21" s="2" t="s">
        <v>2</v>
      </c>
      <c r="C21" s="2" t="s">
        <v>1</v>
      </c>
      <c r="D21" s="2" t="s">
        <v>0</v>
      </c>
      <c r="E21" s="1">
        <v>3396.6</v>
      </c>
      <c r="F21" s="1">
        <f t="shared" si="0"/>
        <v>339.66</v>
      </c>
      <c r="G21" s="1">
        <f t="shared" si="1"/>
        <v>384.83477999999997</v>
      </c>
      <c r="H21" s="1">
        <f t="shared" si="2"/>
        <v>2672.1052199999999</v>
      </c>
    </row>
    <row r="160" hidden="1" x14ac:dyDescent="0.3"/>
  </sheetData>
  <autoFilter ref="A1:H1" xr:uid="{EA5D708C-AB31-473E-9B9D-79F5ACDE382B}"/>
  <pageMargins left="0.511811024" right="0.511811024" top="0.78740157499999996" bottom="0.78740157499999996" header="0.31496062000000002" footer="0.31496062000000002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REPASSE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jeffeson arlley silva oliveira</dc:creator>
  <cp:lastModifiedBy>jeffeson arlley silva oliveira</cp:lastModifiedBy>
  <dcterms:created xsi:type="dcterms:W3CDTF">2026-01-14T14:16:18Z</dcterms:created>
  <dcterms:modified xsi:type="dcterms:W3CDTF">2026-02-03T18:07:39Z</dcterms:modified>
</cp:coreProperties>
</file>