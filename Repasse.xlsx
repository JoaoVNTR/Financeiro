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7" documentId="8_{274C214E-40D9-447F-87AF-4DE964E1D13E}" xr6:coauthVersionLast="47" xr6:coauthVersionMax="47" xr10:uidLastSave="{570CE74B-98D2-4F1B-8A24-EFFD5BDB8581}"/>
  <bookViews>
    <workbookView xWindow="-28920" yWindow="-3915" windowWidth="29040" windowHeight="15720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0" i="1" l="1"/>
  <c r="H80" i="1" s="1"/>
  <c r="G80" i="1"/>
  <c r="F79" i="1"/>
  <c r="G79" i="1"/>
  <c r="H79" i="1"/>
  <c r="F78" i="1"/>
  <c r="H78" i="1" s="1"/>
  <c r="G78" i="1"/>
  <c r="F77" i="1"/>
  <c r="H77" i="1" s="1"/>
  <c r="G77" i="1"/>
  <c r="F76" i="1"/>
  <c r="H76" i="1" s="1"/>
  <c r="G76" i="1"/>
  <c r="F75" i="1"/>
  <c r="G75" i="1"/>
  <c r="H75" i="1" s="1"/>
  <c r="F74" i="1"/>
  <c r="G74" i="1"/>
  <c r="H74" i="1"/>
  <c r="F73" i="1"/>
  <c r="G73" i="1"/>
  <c r="H73" i="1"/>
  <c r="F72" i="1"/>
  <c r="G72" i="1"/>
  <c r="H72" i="1"/>
  <c r="F71" i="1"/>
  <c r="G71" i="1"/>
  <c r="H71" i="1"/>
  <c r="F70" i="1"/>
  <c r="G70" i="1"/>
  <c r="H70" i="1"/>
  <c r="F69" i="1"/>
  <c r="G69" i="1"/>
  <c r="H69" i="1"/>
  <c r="F68" i="1"/>
  <c r="G68" i="1"/>
  <c r="H68" i="1"/>
  <c r="F67" i="1"/>
  <c r="H67" i="1" s="1"/>
  <c r="G67" i="1"/>
  <c r="F66" i="1"/>
  <c r="G66" i="1"/>
  <c r="H66" i="1"/>
  <c r="F65" i="1"/>
  <c r="G65" i="1"/>
  <c r="H65" i="1"/>
  <c r="F64" i="1"/>
  <c r="G64" i="1"/>
  <c r="H64" i="1" s="1"/>
  <c r="F63" i="1"/>
  <c r="G63" i="1"/>
  <c r="H63" i="1"/>
  <c r="F62" i="1"/>
  <c r="G62" i="1"/>
  <c r="H62" i="1"/>
  <c r="F61" i="1"/>
  <c r="G61" i="1"/>
  <c r="H61" i="1"/>
  <c r="F60" i="1"/>
  <c r="G60" i="1"/>
  <c r="H60" i="1"/>
  <c r="F59" i="1"/>
  <c r="G59" i="1"/>
  <c r="H59" i="1"/>
  <c r="F58" i="1" l="1"/>
  <c r="G58" i="1"/>
  <c r="H58" i="1"/>
  <c r="F57" i="1"/>
  <c r="G57" i="1"/>
  <c r="H57" i="1"/>
  <c r="F56" i="1"/>
  <c r="G56" i="1"/>
  <c r="H56" i="1"/>
  <c r="F55" i="1"/>
  <c r="G55" i="1"/>
  <c r="H55" i="1"/>
  <c r="F54" i="1"/>
  <c r="G54" i="1"/>
  <c r="H54" i="1" s="1"/>
  <c r="F53" i="1"/>
  <c r="G53" i="1"/>
  <c r="H53" i="1"/>
  <c r="F52" i="1"/>
  <c r="G52" i="1"/>
  <c r="H52" i="1" s="1"/>
  <c r="F51" i="1"/>
  <c r="H51" i="1" s="1"/>
  <c r="G51" i="1"/>
  <c r="F50" i="1"/>
  <c r="G50" i="1"/>
  <c r="H50" i="1"/>
  <c r="F49" i="1"/>
  <c r="H49" i="1" s="1"/>
  <c r="G49" i="1"/>
  <c r="F48" i="1"/>
  <c r="H48" i="1" s="1"/>
  <c r="G48" i="1"/>
  <c r="F47" i="1"/>
  <c r="G47" i="1"/>
  <c r="H47" i="1"/>
  <c r="F46" i="1"/>
  <c r="G46" i="1"/>
  <c r="H46" i="1"/>
  <c r="F45" i="1"/>
  <c r="G45" i="1"/>
  <c r="H45" i="1"/>
  <c r="F44" i="1"/>
  <c r="G44" i="1"/>
  <c r="H44" i="1"/>
  <c r="F43" i="1"/>
  <c r="G43" i="1"/>
  <c r="H43" i="1"/>
  <c r="F42" i="1"/>
  <c r="G42" i="1"/>
  <c r="H42" i="1"/>
  <c r="F41" i="1"/>
  <c r="G41" i="1"/>
  <c r="H41" i="1"/>
  <c r="F40" i="1"/>
  <c r="H40" i="1" s="1"/>
  <c r="G40" i="1"/>
  <c r="F39" i="1"/>
  <c r="G39" i="1"/>
  <c r="H39" i="1"/>
  <c r="F38" i="1"/>
  <c r="G38" i="1"/>
  <c r="H38" i="1"/>
  <c r="F37" i="1"/>
  <c r="H37" i="1" s="1"/>
  <c r="G37" i="1"/>
  <c r="F36" i="1"/>
  <c r="G36" i="1"/>
  <c r="H36" i="1"/>
  <c r="F35" i="1"/>
  <c r="H35" i="1" s="1"/>
  <c r="G35" i="1"/>
  <c r="F34" i="1"/>
  <c r="G34" i="1"/>
  <c r="H34" i="1"/>
  <c r="F33" i="1"/>
  <c r="G33" i="1"/>
  <c r="H33" i="1"/>
  <c r="F32" i="1"/>
  <c r="G32" i="1"/>
  <c r="H32" i="1"/>
  <c r="F31" i="1"/>
  <c r="G31" i="1"/>
  <c r="H31" i="1"/>
  <c r="F30" i="1"/>
  <c r="H30" i="1" s="1"/>
  <c r="G30" i="1"/>
  <c r="F29" i="1"/>
  <c r="H29" i="1" s="1"/>
  <c r="G29" i="1"/>
  <c r="F28" i="1"/>
  <c r="G28" i="1"/>
  <c r="H28" i="1"/>
  <c r="F27" i="1"/>
  <c r="H27" i="1" s="1"/>
  <c r="G27" i="1"/>
  <c r="F26" i="1"/>
  <c r="G26" i="1"/>
  <c r="H26" i="1"/>
  <c r="F25" i="1"/>
  <c r="G25" i="1"/>
  <c r="H25" i="1"/>
  <c r="F24" i="1"/>
  <c r="H24" i="1" s="1"/>
  <c r="G24" i="1"/>
  <c r="F23" i="1"/>
  <c r="G23" i="1"/>
  <c r="H23" i="1"/>
  <c r="F22" i="1"/>
  <c r="H22" i="1" s="1"/>
  <c r="G22" i="1"/>
  <c r="F21" i="1"/>
  <c r="H21" i="1" s="1"/>
  <c r="G21" i="1"/>
  <c r="F2" i="1" l="1"/>
  <c r="G2" i="1"/>
  <c r="F3" i="1"/>
  <c r="G3" i="1"/>
  <c r="H3" i="1" s="1"/>
  <c r="F4" i="1"/>
  <c r="G4" i="1"/>
  <c r="F5" i="1"/>
  <c r="H5" i="1" s="1"/>
  <c r="G5" i="1"/>
  <c r="F6" i="1"/>
  <c r="G6" i="1"/>
  <c r="F7" i="1"/>
  <c r="G7" i="1"/>
  <c r="F8" i="1"/>
  <c r="G8" i="1"/>
  <c r="F9" i="1"/>
  <c r="G9" i="1"/>
  <c r="F10" i="1"/>
  <c r="G10" i="1"/>
  <c r="F11" i="1"/>
  <c r="G11" i="1"/>
  <c r="H11" i="1" s="1"/>
  <c r="F12" i="1"/>
  <c r="G12" i="1"/>
  <c r="F13" i="1"/>
  <c r="G13" i="1"/>
  <c r="F14" i="1"/>
  <c r="G14" i="1"/>
  <c r="F15" i="1"/>
  <c r="G15" i="1"/>
  <c r="F16" i="1"/>
  <c r="G16" i="1"/>
  <c r="F17" i="1"/>
  <c r="H17" i="1" s="1"/>
  <c r="G17" i="1"/>
  <c r="F18" i="1"/>
  <c r="G18" i="1"/>
  <c r="H18" i="1" s="1"/>
  <c r="F19" i="1"/>
  <c r="G19" i="1"/>
  <c r="H19" i="1" s="1"/>
  <c r="F20" i="1"/>
  <c r="G20" i="1"/>
  <c r="H16" i="1" l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<sst xmlns="http://schemas.openxmlformats.org/spreadsheetml/2006/main" count="245" uniqueCount="39">
  <si>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</si>
  <si>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</si>
  <si>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</si>
  <si>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</si>
  <si>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</si>
  <si>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</si>
  <si>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</si>
  <si>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</si>
  <si>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</si>
  <si>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</si>
  <si>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</si>
  <si>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</si>
  <si>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</si>
  <si>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</si>
  <si>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</si>
  <si>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</si>
  <si>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</si>
  <si>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</si>
  <si>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</si>
  <si>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</si>
  <si>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</si>
  <si>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</si>
  <si>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</si>
  <si>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</si>
  <si>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</si>
  <si>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</si>
  <si>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</si>
  <si>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</si>
  <si>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</si>
  <si>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</si>
  <si>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</si>
  <si>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</si>
  <si>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</si>
  <si>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</si>
  <si>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</si>
  <si>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</si>
  <si>
    <t>ATL DERCIO 1</t>
  </si>
  <si>
    <t>ATL VARJOTA 01</t>
  </si>
  <si>
    <t>FAZENDA IPU TIJUCA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</si>
</sst>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59"/>
  <sheetViews>
    <sheetView tabSelected="1" topLeftCell="A32" zoomScale="70" zoomScaleNormal="70" workbookViewId="0">
      <selection activeCell="H59" sqref="H59:H80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80" si="3">E30*0.1</f>
        <v>10.752000000000001</v>
      </c>
      <c r="G30" s="1">
        <f t="shared" ref="G30:G80" si="4">E30*0.1133</f>
        <v>12.182015999999999</v>
      </c>
      <c r="H30" s="1">
        <f t="shared" ref="H30:H80" si="5">E30-F30-G30</f>
        <v>84.585983999999996</v>
      </c>
    </row>
    <row r="31" spans="1:8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40" spans="1:8" x14ac:dyDescent="0.3">
      <c r="A40" s="2" t="s">
        <v>8</v>
      </c>
      <c r="B40" s="2" t="s">
        <v>27</v>
      </c>
      <c r="C40" s="2" t="s">
        <v>26</v>
      </c>
      <c r="D40" s="5">
        <v>46054</v>
      </c>
      <c r="E40" s="1">
        <v>626.6</v>
      </c>
      <c r="F40" s="1">
        <f t="shared" si="3"/>
        <v>62.660000000000004</v>
      </c>
      <c r="G40" s="1">
        <f t="shared" si="4"/>
        <v>70.993780000000001</v>
      </c>
      <c r="H40" s="1">
        <f t="shared" si="5"/>
        <v>492.94622000000004</v>
      </c>
    </row>
    <row r="41" spans="1:8" x14ac:dyDescent="0.3">
      <c r="A41" s="2" t="s">
        <v>8</v>
      </c>
      <c r="B41" s="2" t="s">
        <v>25</v>
      </c>
      <c r="C41" s="2" t="s">
        <v>24</v>
      </c>
      <c r="D41" s="5">
        <v>46054</v>
      </c>
      <c r="E41" s="1">
        <v>4315.5200000000004</v>
      </c>
      <c r="F41" s="1">
        <f t="shared" si="3"/>
        <v>431.55200000000008</v>
      </c>
      <c r="G41" s="1">
        <f t="shared" si="4"/>
        <v>488.94841600000007</v>
      </c>
      <c r="H41" s="1">
        <f t="shared" si="5"/>
        <v>3395.0195840000001</v>
      </c>
    </row>
    <row r="42" spans="1:8" x14ac:dyDescent="0.3">
      <c r="A42" s="2" t="s">
        <v>8</v>
      </c>
      <c r="B42" s="2" t="s">
        <v>21</v>
      </c>
      <c r="C42" s="2" t="s">
        <v>23</v>
      </c>
      <c r="D42" s="5">
        <v>46054</v>
      </c>
      <c r="E42" s="1">
        <v>174.72</v>
      </c>
      <c r="F42" s="1">
        <f t="shared" si="3"/>
        <v>17.472000000000001</v>
      </c>
      <c r="G42" s="1">
        <f t="shared" si="4"/>
        <v>19.795776</v>
      </c>
      <c r="H42" s="1">
        <f t="shared" si="5"/>
        <v>137.452224</v>
      </c>
    </row>
    <row r="43" spans="1:8" x14ac:dyDescent="0.3">
      <c r="A43" s="2" t="s">
        <v>8</v>
      </c>
      <c r="B43" s="2" t="s">
        <v>21</v>
      </c>
      <c r="C43" s="2" t="s">
        <v>22</v>
      </c>
      <c r="D43" s="5">
        <v>46054</v>
      </c>
      <c r="E43" s="1">
        <v>5454.08</v>
      </c>
      <c r="F43" s="1">
        <f t="shared" si="3"/>
        <v>545.40800000000002</v>
      </c>
      <c r="G43" s="1">
        <f t="shared" si="4"/>
        <v>617.94726400000002</v>
      </c>
      <c r="H43" s="1">
        <f t="shared" si="5"/>
        <v>4290.7247359999992</v>
      </c>
    </row>
    <row r="44" spans="1:8" x14ac:dyDescent="0.3">
      <c r="A44" s="2" t="s">
        <v>8</v>
      </c>
      <c r="B44" s="2" t="s">
        <v>21</v>
      </c>
      <c r="C44" s="2" t="s">
        <v>20</v>
      </c>
      <c r="D44" s="5">
        <v>46054</v>
      </c>
      <c r="E44" s="1">
        <v>184.32</v>
      </c>
      <c r="F44" s="1">
        <f t="shared" si="3"/>
        <v>18.431999999999999</v>
      </c>
      <c r="G44" s="1">
        <f t="shared" si="4"/>
        <v>20.883455999999999</v>
      </c>
      <c r="H44" s="1">
        <f t="shared" si="5"/>
        <v>145.00454400000001</v>
      </c>
    </row>
    <row r="45" spans="1:8" x14ac:dyDescent="0.3">
      <c r="A45" s="2" t="s">
        <v>8</v>
      </c>
      <c r="B45" s="2" t="s">
        <v>16</v>
      </c>
      <c r="C45" s="2" t="s">
        <v>6</v>
      </c>
      <c r="D45" s="5">
        <v>46054</v>
      </c>
      <c r="E45" s="1">
        <v>127.64</v>
      </c>
      <c r="F45" s="1">
        <f t="shared" si="3"/>
        <v>12.764000000000001</v>
      </c>
      <c r="G45" s="1">
        <f t="shared" si="4"/>
        <v>14.461612000000001</v>
      </c>
      <c r="H45" s="1">
        <f t="shared" si="5"/>
        <v>100.414388</v>
      </c>
    </row>
    <row r="46" spans="1:8" x14ac:dyDescent="0.3">
      <c r="A46" s="2" t="s">
        <v>8</v>
      </c>
      <c r="B46" s="2" t="s">
        <v>16</v>
      </c>
      <c r="C46" s="2" t="s">
        <v>19</v>
      </c>
      <c r="D46" s="5">
        <v>46054</v>
      </c>
      <c r="E46" s="1">
        <v>2487.5500000000002</v>
      </c>
      <c r="F46" s="1">
        <f t="shared" si="3"/>
        <v>248.75500000000002</v>
      </c>
      <c r="G46" s="1">
        <f t="shared" si="4"/>
        <v>281.83941500000003</v>
      </c>
      <c r="H46" s="1">
        <f t="shared" si="5"/>
        <v>1956.9555850000002</v>
      </c>
    </row>
    <row r="47" spans="1:8" x14ac:dyDescent="0.3">
      <c r="A47" s="2" t="s">
        <v>8</v>
      </c>
      <c r="B47" s="2" t="s">
        <v>16</v>
      </c>
      <c r="C47" s="2" t="s">
        <v>18</v>
      </c>
      <c r="D47" s="5">
        <v>46054</v>
      </c>
      <c r="E47" s="1">
        <v>361.4</v>
      </c>
      <c r="F47" s="1">
        <f t="shared" si="3"/>
        <v>36.14</v>
      </c>
      <c r="G47" s="1">
        <f t="shared" si="4"/>
        <v>40.946619999999996</v>
      </c>
      <c r="H47" s="1">
        <f t="shared" si="5"/>
        <v>284.31338</v>
      </c>
    </row>
    <row r="48" spans="1:8" x14ac:dyDescent="0.3">
      <c r="A48" s="2" t="s">
        <v>8</v>
      </c>
      <c r="B48" s="2" t="s">
        <v>16</v>
      </c>
      <c r="C48" s="2" t="s">
        <v>17</v>
      </c>
      <c r="D48" s="5">
        <v>46054</v>
      </c>
      <c r="E48" s="1">
        <v>192.64</v>
      </c>
      <c r="F48" s="1">
        <f t="shared" si="3"/>
        <v>19.263999999999999</v>
      </c>
      <c r="G48" s="1">
        <f t="shared" si="4"/>
        <v>21.826111999999998</v>
      </c>
      <c r="H48" s="1">
        <f t="shared" si="5"/>
        <v>151.54988799999998</v>
      </c>
    </row>
    <row r="49" spans="1:8" x14ac:dyDescent="0.3">
      <c r="A49" s="2" t="s">
        <v>8</v>
      </c>
      <c r="B49" s="2" t="s">
        <v>16</v>
      </c>
      <c r="C49" s="2" t="s">
        <v>15</v>
      </c>
      <c r="D49" s="5">
        <v>46054</v>
      </c>
      <c r="E49" s="1">
        <v>1267.5</v>
      </c>
      <c r="F49" s="1">
        <f t="shared" si="3"/>
        <v>126.75</v>
      </c>
      <c r="G49" s="1">
        <f t="shared" si="4"/>
        <v>143.60775000000001</v>
      </c>
      <c r="H49" s="1">
        <f t="shared" si="5"/>
        <v>997.14224999999999</v>
      </c>
    </row>
    <row r="50" spans="1:8" x14ac:dyDescent="0.3">
      <c r="A50" s="2" t="s">
        <v>8</v>
      </c>
      <c r="B50" s="2" t="s">
        <v>14</v>
      </c>
      <c r="C50" s="2" t="s">
        <v>12</v>
      </c>
      <c r="D50" s="5">
        <v>46054</v>
      </c>
      <c r="E50" s="1">
        <v>0</v>
      </c>
      <c r="F50" s="1">
        <f t="shared" si="3"/>
        <v>0</v>
      </c>
      <c r="G50" s="1">
        <f t="shared" si="4"/>
        <v>0</v>
      </c>
      <c r="H50" s="1">
        <f t="shared" si="5"/>
        <v>0</v>
      </c>
    </row>
    <row r="51" spans="1:8" x14ac:dyDescent="0.3">
      <c r="A51" s="2" t="s">
        <v>8</v>
      </c>
      <c r="B51" s="2" t="s">
        <v>13</v>
      </c>
      <c r="C51" s="2" t="s">
        <v>12</v>
      </c>
      <c r="D51" s="5">
        <v>46054</v>
      </c>
      <c r="E51" s="1">
        <v>0</v>
      </c>
      <c r="F51" s="1">
        <f t="shared" si="3"/>
        <v>0</v>
      </c>
      <c r="G51" s="1">
        <f t="shared" si="4"/>
        <v>0</v>
      </c>
      <c r="H51" s="1">
        <f t="shared" si="5"/>
        <v>0</v>
      </c>
    </row>
    <row r="52" spans="1:8" x14ac:dyDescent="0.3">
      <c r="A52" s="2" t="s">
        <v>8</v>
      </c>
      <c r="B52" s="2" t="s">
        <v>11</v>
      </c>
      <c r="C52" s="2" t="s">
        <v>9</v>
      </c>
      <c r="D52" s="5">
        <v>46054</v>
      </c>
      <c r="E52" s="1">
        <v>755.52</v>
      </c>
      <c r="F52" s="1">
        <f t="shared" si="3"/>
        <v>75.552000000000007</v>
      </c>
      <c r="G52" s="1">
        <f t="shared" si="4"/>
        <v>85.600415999999996</v>
      </c>
      <c r="H52" s="1">
        <f t="shared" si="5"/>
        <v>594.36758399999997</v>
      </c>
    </row>
    <row r="53" spans="1:8" x14ac:dyDescent="0.3">
      <c r="A53" s="2" t="s">
        <v>8</v>
      </c>
      <c r="B53" s="2" t="s">
        <v>10</v>
      </c>
      <c r="C53" s="2" t="s">
        <v>9</v>
      </c>
      <c r="D53" s="5">
        <v>46054</v>
      </c>
      <c r="E53" s="1">
        <v>755.52</v>
      </c>
      <c r="F53" s="1">
        <f t="shared" si="3"/>
        <v>75.552000000000007</v>
      </c>
      <c r="G53" s="1">
        <f t="shared" si="4"/>
        <v>85.600415999999996</v>
      </c>
      <c r="H53" s="1">
        <f t="shared" si="5"/>
        <v>594.36758399999997</v>
      </c>
    </row>
    <row r="54" spans="1:8" x14ac:dyDescent="0.3">
      <c r="A54" s="2" t="s">
        <v>8</v>
      </c>
      <c r="B54" s="2" t="s">
        <v>7</v>
      </c>
      <c r="C54" s="2" t="s">
        <v>6</v>
      </c>
      <c r="D54" s="5">
        <v>46054</v>
      </c>
      <c r="E54" s="1">
        <v>3357.01</v>
      </c>
      <c r="F54" s="1">
        <f t="shared" si="3"/>
        <v>335.70100000000002</v>
      </c>
      <c r="G54" s="1">
        <f t="shared" si="4"/>
        <v>380.34923300000003</v>
      </c>
      <c r="H54" s="1">
        <f t="shared" si="5"/>
        <v>2640.9597670000003</v>
      </c>
    </row>
    <row r="55" spans="1:8" x14ac:dyDescent="0.3">
      <c r="A55" s="2" t="s">
        <v>2</v>
      </c>
      <c r="B55" s="2" t="s">
        <v>1</v>
      </c>
      <c r="C55" s="2" t="s">
        <v>5</v>
      </c>
      <c r="D55" s="5">
        <v>46054</v>
      </c>
      <c r="E55" s="1">
        <v>3063.06</v>
      </c>
      <c r="F55" s="1">
        <f t="shared" si="3"/>
        <v>306.30599999999998</v>
      </c>
      <c r="G55" s="1">
        <f t="shared" si="4"/>
        <v>347.04469799999998</v>
      </c>
      <c r="H55" s="1">
        <f t="shared" si="5"/>
        <v>2409.7093019999998</v>
      </c>
    </row>
    <row r="56" spans="1:8" x14ac:dyDescent="0.3">
      <c r="A56" s="2" t="s">
        <v>2</v>
      </c>
      <c r="B56" s="2" t="s">
        <v>1</v>
      </c>
      <c r="C56" s="2" t="s">
        <v>4</v>
      </c>
      <c r="D56" s="5">
        <v>46054</v>
      </c>
      <c r="E56" s="1">
        <v>8755.2000000000007</v>
      </c>
      <c r="F56" s="1">
        <f t="shared" si="3"/>
        <v>875.5200000000001</v>
      </c>
      <c r="G56" s="1">
        <f t="shared" si="4"/>
        <v>991.96416000000011</v>
      </c>
      <c r="H56" s="1">
        <f t="shared" si="5"/>
        <v>6887.7158399999998</v>
      </c>
    </row>
    <row r="57" spans="1:8" x14ac:dyDescent="0.3">
      <c r="A57" s="2" t="s">
        <v>2</v>
      </c>
      <c r="B57" s="2" t="s">
        <v>1</v>
      </c>
      <c r="C57" s="2" t="s">
        <v>3</v>
      </c>
      <c r="D57" s="5">
        <v>46054</v>
      </c>
      <c r="E57" s="1">
        <v>7560.67</v>
      </c>
      <c r="F57" s="1">
        <f t="shared" si="3"/>
        <v>756.06700000000001</v>
      </c>
      <c r="G57" s="1">
        <f t="shared" si="4"/>
        <v>856.62391100000002</v>
      </c>
      <c r="H57" s="1">
        <f t="shared" si="5"/>
        <v>5947.9790890000004</v>
      </c>
    </row>
    <row r="58" spans="1:8" x14ac:dyDescent="0.3">
      <c r="A58" s="2" t="s">
        <v>2</v>
      </c>
      <c r="B58" s="2" t="s">
        <v>1</v>
      </c>
      <c r="C58" s="2" t="s">
        <v>0</v>
      </c>
      <c r="D58" s="5">
        <v>46054</v>
      </c>
      <c r="E58" s="1">
        <v>5180.92</v>
      </c>
      <c r="F58" s="1">
        <f t="shared" si="3"/>
        <v>518.09199999999998</v>
      </c>
      <c r="G58" s="1">
        <f t="shared" si="4"/>
        <v>586.99823600000002</v>
      </c>
      <c r="H58" s="1">
        <f t="shared" si="5"/>
        <v>4075.8297640000005</v>
      </c>
    </row>
    <row r="59" spans="1:8" x14ac:dyDescent="0.3">
      <c r="A59" s="2" t="s">
        <v>38</v>
      </c>
      <c r="B59" s="2" t="s">
        <v>27</v>
      </c>
      <c r="C59" s="2" t="s">
        <v>26</v>
      </c>
      <c r="D59" s="5">
        <v>46082</v>
      </c>
      <c r="E59" s="1">
        <v>676.65</v>
      </c>
      <c r="F59" s="1">
        <f t="shared" si="3"/>
        <v>67.665000000000006</v>
      </c>
      <c r="G59" s="1">
        <f t="shared" si="4"/>
        <v>76.664445000000001</v>
      </c>
      <c r="H59" s="1">
        <f t="shared" si="5"/>
        <v>532.32055500000001</v>
      </c>
    </row>
    <row r="60" spans="1:8" x14ac:dyDescent="0.3">
      <c r="A60" s="2" t="s">
        <v>38</v>
      </c>
      <c r="B60" s="2" t="s">
        <v>25</v>
      </c>
      <c r="C60" s="2" t="s">
        <v>24</v>
      </c>
      <c r="D60" s="5">
        <v>46082</v>
      </c>
      <c r="E60" s="1">
        <v>0</v>
      </c>
      <c r="F60" s="1">
        <f t="shared" si="3"/>
        <v>0</v>
      </c>
      <c r="G60" s="1">
        <f t="shared" si="4"/>
        <v>0</v>
      </c>
      <c r="H60" s="1">
        <f t="shared" si="5"/>
        <v>0</v>
      </c>
    </row>
    <row r="61" spans="1:8" x14ac:dyDescent="0.3">
      <c r="A61" s="2" t="s">
        <v>38</v>
      </c>
      <c r="B61" s="2" t="s">
        <v>21</v>
      </c>
      <c r="C61" s="2" t="s">
        <v>23</v>
      </c>
      <c r="D61" s="5">
        <v>46082</v>
      </c>
      <c r="E61" s="1">
        <v>185.6</v>
      </c>
      <c r="F61" s="1">
        <f t="shared" si="3"/>
        <v>18.559999999999999</v>
      </c>
      <c r="G61" s="1">
        <f t="shared" si="4"/>
        <v>21.028479999999998</v>
      </c>
      <c r="H61" s="1">
        <f t="shared" si="5"/>
        <v>146.01151999999999</v>
      </c>
    </row>
    <row r="62" spans="1:8" x14ac:dyDescent="0.3">
      <c r="A62" s="2" t="s">
        <v>38</v>
      </c>
      <c r="B62" s="2" t="s">
        <v>21</v>
      </c>
      <c r="C62" s="2" t="s">
        <v>22</v>
      </c>
      <c r="D62" s="5">
        <v>46082</v>
      </c>
      <c r="E62" s="1">
        <v>5142.3999999999996</v>
      </c>
      <c r="F62" s="1">
        <f t="shared" si="3"/>
        <v>514.24</v>
      </c>
      <c r="G62" s="1">
        <f t="shared" si="4"/>
        <v>582.63391999999999</v>
      </c>
      <c r="H62" s="1">
        <f t="shared" si="5"/>
        <v>4045.5260799999996</v>
      </c>
    </row>
    <row r="63" spans="1:8" x14ac:dyDescent="0.3">
      <c r="A63" s="2" t="s">
        <v>38</v>
      </c>
      <c r="B63" s="2" t="s">
        <v>21</v>
      </c>
      <c r="C63" s="2" t="s">
        <v>20</v>
      </c>
      <c r="D63" s="5">
        <v>46082</v>
      </c>
      <c r="E63" s="1">
        <v>187.52</v>
      </c>
      <c r="F63" s="1">
        <f t="shared" si="3"/>
        <v>18.752000000000002</v>
      </c>
      <c r="G63" s="1">
        <f t="shared" si="4"/>
        <v>21.246016000000001</v>
      </c>
      <c r="H63" s="1">
        <f t="shared" si="5"/>
        <v>147.521984</v>
      </c>
    </row>
    <row r="64" spans="1:8" x14ac:dyDescent="0.3">
      <c r="A64" s="2" t="s">
        <v>38</v>
      </c>
      <c r="B64" s="2" t="s">
        <v>16</v>
      </c>
      <c r="C64" s="2" t="s">
        <v>6</v>
      </c>
      <c r="D64" s="5">
        <v>46082</v>
      </c>
      <c r="E64" s="1">
        <v>209.63</v>
      </c>
      <c r="F64" s="1">
        <f t="shared" si="3"/>
        <v>20.963000000000001</v>
      </c>
      <c r="G64" s="1">
        <f t="shared" si="4"/>
        <v>23.751079000000001</v>
      </c>
      <c r="H64" s="1">
        <f t="shared" si="5"/>
        <v>164.915921</v>
      </c>
    </row>
    <row r="65" spans="1:8" x14ac:dyDescent="0.3">
      <c r="A65" s="2" t="s">
        <v>38</v>
      </c>
      <c r="B65" s="2" t="s">
        <v>16</v>
      </c>
      <c r="C65" s="2" t="s">
        <v>19</v>
      </c>
      <c r="D65" s="5">
        <v>46082</v>
      </c>
      <c r="E65" s="1">
        <v>2172.9499999999998</v>
      </c>
      <c r="F65" s="1">
        <f t="shared" si="3"/>
        <v>217.29499999999999</v>
      </c>
      <c r="G65" s="1">
        <f t="shared" si="4"/>
        <v>246.19523499999997</v>
      </c>
      <c r="H65" s="1">
        <f t="shared" si="5"/>
        <v>1709.4597649999998</v>
      </c>
    </row>
    <row r="66" spans="1:8" x14ac:dyDescent="0.3">
      <c r="A66" s="2" t="s">
        <v>38</v>
      </c>
      <c r="B66" s="2" t="s">
        <v>16</v>
      </c>
      <c r="C66" s="2" t="s">
        <v>18</v>
      </c>
      <c r="D66" s="5">
        <v>46082</v>
      </c>
      <c r="E66" s="1">
        <v>325</v>
      </c>
      <c r="F66" s="1">
        <f t="shared" si="3"/>
        <v>32.5</v>
      </c>
      <c r="G66" s="1">
        <f t="shared" si="4"/>
        <v>36.822499999999998</v>
      </c>
      <c r="H66" s="1">
        <f t="shared" si="5"/>
        <v>255.67750000000001</v>
      </c>
    </row>
    <row r="67" spans="1:8" x14ac:dyDescent="0.3">
      <c r="A67" s="2" t="s">
        <v>38</v>
      </c>
      <c r="B67" s="2" t="s">
        <v>16</v>
      </c>
      <c r="C67" s="2" t="s">
        <v>17</v>
      </c>
      <c r="D67" s="5">
        <v>46082</v>
      </c>
      <c r="E67" s="1">
        <v>151.68</v>
      </c>
      <c r="F67" s="1">
        <f t="shared" si="3"/>
        <v>15.168000000000001</v>
      </c>
      <c r="G67" s="1">
        <f t="shared" si="4"/>
        <v>17.185344000000001</v>
      </c>
      <c r="H67" s="1">
        <f t="shared" si="5"/>
        <v>119.326656</v>
      </c>
    </row>
    <row r="68" spans="1:8" x14ac:dyDescent="0.3">
      <c r="A68" s="2" t="s">
        <v>38</v>
      </c>
      <c r="B68" s="2" t="s">
        <v>16</v>
      </c>
      <c r="C68" s="2" t="s">
        <v>15</v>
      </c>
      <c r="D68" s="5">
        <v>46082</v>
      </c>
      <c r="E68" s="1">
        <v>1510.91</v>
      </c>
      <c r="F68" s="1">
        <f t="shared" si="3"/>
        <v>151.09100000000001</v>
      </c>
      <c r="G68" s="1">
        <f t="shared" si="4"/>
        <v>171.186103</v>
      </c>
      <c r="H68" s="1">
        <f t="shared" si="5"/>
        <v>1188.632897</v>
      </c>
    </row>
    <row r="69" spans="1:8" x14ac:dyDescent="0.3">
      <c r="A69" s="2" t="s">
        <v>38</v>
      </c>
      <c r="B69" s="2" t="s">
        <v>14</v>
      </c>
      <c r="C69" s="2" t="s">
        <v>12</v>
      </c>
      <c r="D69" s="5">
        <v>46082</v>
      </c>
      <c r="E69" s="1">
        <v>0</v>
      </c>
      <c r="F69" s="1">
        <f t="shared" si="3"/>
        <v>0</v>
      </c>
      <c r="G69" s="1">
        <f t="shared" si="4"/>
        <v>0</v>
      </c>
      <c r="H69" s="1">
        <f t="shared" si="5"/>
        <v>0</v>
      </c>
    </row>
    <row r="70" spans="1:8" x14ac:dyDescent="0.3">
      <c r="A70" s="2" t="s">
        <v>38</v>
      </c>
      <c r="B70" s="2" t="s">
        <v>13</v>
      </c>
      <c r="C70" s="2" t="s">
        <v>12</v>
      </c>
      <c r="D70" s="5">
        <v>46082</v>
      </c>
      <c r="E70" s="1">
        <v>0</v>
      </c>
      <c r="F70" s="1">
        <f t="shared" si="3"/>
        <v>0</v>
      </c>
      <c r="G70" s="1">
        <f t="shared" si="4"/>
        <v>0</v>
      </c>
      <c r="H70" s="1">
        <f t="shared" si="5"/>
        <v>0</v>
      </c>
    </row>
    <row r="71" spans="1:8" x14ac:dyDescent="0.3">
      <c r="A71" s="2" t="s">
        <v>38</v>
      </c>
      <c r="B71" s="2" t="s">
        <v>11</v>
      </c>
      <c r="C71" s="2" t="s">
        <v>9</v>
      </c>
      <c r="D71" s="5">
        <v>46082</v>
      </c>
      <c r="E71" s="1">
        <v>0</v>
      </c>
      <c r="F71" s="1">
        <f t="shared" si="3"/>
        <v>0</v>
      </c>
      <c r="G71" s="1">
        <f t="shared" si="4"/>
        <v>0</v>
      </c>
      <c r="H71" s="1">
        <f t="shared" si="5"/>
        <v>0</v>
      </c>
    </row>
    <row r="72" spans="1:8" x14ac:dyDescent="0.3">
      <c r="A72" s="2" t="s">
        <v>38</v>
      </c>
      <c r="B72" s="2" t="s">
        <v>10</v>
      </c>
      <c r="C72" s="2" t="s">
        <v>9</v>
      </c>
      <c r="D72" s="5">
        <v>46082</v>
      </c>
      <c r="E72" s="1">
        <v>11971.84</v>
      </c>
      <c r="F72" s="1">
        <f t="shared" si="3"/>
        <v>1197.184</v>
      </c>
      <c r="G72" s="1">
        <f t="shared" si="4"/>
        <v>1356.4094720000001</v>
      </c>
      <c r="H72" s="1">
        <f t="shared" si="5"/>
        <v>9418.2465280000015</v>
      </c>
    </row>
    <row r="73" spans="1:8" x14ac:dyDescent="0.3">
      <c r="A73" s="2" t="s">
        <v>38</v>
      </c>
      <c r="B73" s="2" t="s">
        <v>7</v>
      </c>
      <c r="C73" s="2" t="s">
        <v>36</v>
      </c>
      <c r="D73" s="5">
        <v>46082</v>
      </c>
      <c r="E73" s="1">
        <v>1503.12</v>
      </c>
      <c r="F73" s="1">
        <f t="shared" si="3"/>
        <v>150.31199999999998</v>
      </c>
      <c r="G73" s="1">
        <f t="shared" si="4"/>
        <v>170.303496</v>
      </c>
      <c r="H73" s="1">
        <f t="shared" si="5"/>
        <v>1182.504504</v>
      </c>
    </row>
    <row r="74" spans="1:8" x14ac:dyDescent="0.3">
      <c r="A74" s="2" t="s">
        <v>38</v>
      </c>
      <c r="B74" s="2" t="s">
        <v>7</v>
      </c>
      <c r="C74" s="2" t="s">
        <v>19</v>
      </c>
      <c r="D74" s="5">
        <v>46082</v>
      </c>
      <c r="E74" s="1">
        <v>0</v>
      </c>
      <c r="F74" s="1">
        <f t="shared" si="3"/>
        <v>0</v>
      </c>
      <c r="G74" s="1">
        <f t="shared" si="4"/>
        <v>0</v>
      </c>
      <c r="H74" s="1">
        <f t="shared" si="5"/>
        <v>0</v>
      </c>
    </row>
    <row r="75" spans="1:8" x14ac:dyDescent="0.3">
      <c r="A75" s="2" t="s">
        <v>38</v>
      </c>
      <c r="B75" s="2" t="s">
        <v>7</v>
      </c>
      <c r="C75" s="2" t="s">
        <v>17</v>
      </c>
      <c r="D75" s="5">
        <v>46082</v>
      </c>
      <c r="E75" s="1">
        <v>550.89</v>
      </c>
      <c r="F75" s="1">
        <f t="shared" si="3"/>
        <v>55.088999999999999</v>
      </c>
      <c r="G75" s="1">
        <f t="shared" si="4"/>
        <v>62.415836999999996</v>
      </c>
      <c r="H75" s="1">
        <f t="shared" si="5"/>
        <v>433.38516299999998</v>
      </c>
    </row>
    <row r="76" spans="1:8" x14ac:dyDescent="0.3">
      <c r="A76" s="2" t="s">
        <v>38</v>
      </c>
      <c r="B76" s="2" t="s">
        <v>7</v>
      </c>
      <c r="C76" s="2" t="s">
        <v>37</v>
      </c>
      <c r="D76" s="5">
        <v>46082</v>
      </c>
      <c r="E76" s="1">
        <v>14073.16</v>
      </c>
      <c r="F76" s="1">
        <f t="shared" si="3"/>
        <v>1407.316</v>
      </c>
      <c r="G76" s="1">
        <f t="shared" si="4"/>
        <v>1594.489028</v>
      </c>
      <c r="H76" s="1">
        <f t="shared" si="5"/>
        <v>11071.354971999999</v>
      </c>
    </row>
    <row r="77" spans="1:8" x14ac:dyDescent="0.3">
      <c r="A77" s="2" t="s">
        <v>2</v>
      </c>
      <c r="B77" s="2" t="s">
        <v>1</v>
      </c>
      <c r="C77" s="2" t="s">
        <v>5</v>
      </c>
      <c r="D77" s="5">
        <v>46082</v>
      </c>
      <c r="E77" s="1">
        <v>2874.96</v>
      </c>
      <c r="F77" s="1">
        <f t="shared" si="3"/>
        <v>287.49600000000004</v>
      </c>
      <c r="G77" s="1">
        <f t="shared" si="4"/>
        <v>325.73296799999997</v>
      </c>
      <c r="H77" s="1">
        <f t="shared" si="5"/>
        <v>2261.7310320000001</v>
      </c>
    </row>
    <row r="78" spans="1:8" x14ac:dyDescent="0.3">
      <c r="A78" s="2" t="s">
        <v>2</v>
      </c>
      <c r="B78" s="2" t="s">
        <v>1</v>
      </c>
      <c r="C78" s="2" t="s">
        <v>4</v>
      </c>
      <c r="D78" s="5">
        <v>46082</v>
      </c>
      <c r="E78" s="1">
        <v>8915.2000000000007</v>
      </c>
      <c r="F78" s="1">
        <f t="shared" si="3"/>
        <v>891.5200000000001</v>
      </c>
      <c r="G78" s="1">
        <f t="shared" si="4"/>
        <v>1010.09216</v>
      </c>
      <c r="H78" s="1">
        <f t="shared" si="5"/>
        <v>7013.5878400000001</v>
      </c>
    </row>
    <row r="79" spans="1:8" x14ac:dyDescent="0.3">
      <c r="A79" s="2" t="s">
        <v>2</v>
      </c>
      <c r="B79" s="2" t="s">
        <v>1</v>
      </c>
      <c r="C79" s="2" t="s">
        <v>3</v>
      </c>
      <c r="D79" s="5">
        <v>46082</v>
      </c>
      <c r="E79" s="1">
        <v>6004.99</v>
      </c>
      <c r="F79" s="1">
        <f t="shared" si="3"/>
        <v>600.49900000000002</v>
      </c>
      <c r="G79" s="1">
        <f t="shared" si="4"/>
        <v>680.36536699999999</v>
      </c>
      <c r="H79" s="1">
        <f t="shared" si="5"/>
        <v>4724.1256329999997</v>
      </c>
    </row>
    <row r="80" spans="1:8" x14ac:dyDescent="0.3">
      <c r="A80" s="2" t="s">
        <v>2</v>
      </c>
      <c r="B80" s="2" t="s">
        <v>1</v>
      </c>
      <c r="C80" s="2" t="s">
        <v>0</v>
      </c>
      <c r="D80" s="5">
        <v>46082</v>
      </c>
      <c r="E80" s="1">
        <v>5360.44</v>
      </c>
      <c r="F80" s="1">
        <f t="shared" si="3"/>
        <v>536.04399999999998</v>
      </c>
      <c r="G80" s="1">
        <f t="shared" si="4"/>
        <v>607.337852</v>
      </c>
      <c r="H80" s="1">
        <f t="shared" si="5"/>
        <v>4217.0581480000001</v>
      </c>
    </row>
    <row r="159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2026-04-29T12:40:50Z</dcterms:modified>
</cp:coreProperties>
</file>