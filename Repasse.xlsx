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5c92e1b1a667af/Área de Trabalho/faturamento/"/>
    </mc:Choice>
  </mc:AlternateContent>
  <xr:revisionPtr revIDLastSave="12" documentId="8_{274C214E-40D9-447F-87AF-4DE964E1D13E}" xr6:coauthVersionLast="47" xr6:coauthVersionMax="47" xr10:uidLastSave="{89ACB533-3C7C-46F6-BE7D-70915675FAB8}"/>
  <bookViews>
    <workbookView xWindow="-25650" yWindow="-510" windowWidth="17280" windowHeight="8880" xr2:uid="{7312FC1A-F563-4D09-A125-E1314866FDBA}"/>
  </bookViews>
  <sheets>
    <sheet name="REPASSE" sheetId="1" r:id="rId1"/>
  </sheets>
  <definedNames>
    <definedName name="_xlnm._FilterDatabase" localSheetId="0" hidden="1">REPASSE!$A$1:$H$148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3" i="1" l="1"/>
  <c r="H163" i="1" s="1"/>
  <c r="G163" i="1"/>
  <c r="F162" i="1"/>
  <c r="G162" i="1"/>
  <c r="H162" i="1"/>
  <c r="F161" i="1"/>
  <c r="H161" i="1" s="1"/>
  <c r="G161" i="1"/>
  <c r="F160" i="1"/>
  <c r="H160" i="1" s="1"/>
  <c r="G160" i="1"/>
  <c r="F159" i="1"/>
  <c r="H159" i="1" s="1"/>
  <c r="G159" i="1"/>
  <c r="F158" i="1"/>
  <c r="H158" i="1" s="1"/>
  <c r="G158" i="1"/>
  <c r="F157" i="1"/>
  <c r="H157" i="1" s="1"/>
  <c r="G157" i="1"/>
  <c r="F156" i="1"/>
  <c r="G156" i="1"/>
  <c r="H156" i="1"/>
  <c r="F155" i="1"/>
  <c r="G155" i="1"/>
  <c r="H155" i="1" s="1"/>
  <c r="F154" i="1"/>
  <c r="G154" i="1"/>
  <c r="H154" i="1"/>
  <c r="F153" i="1"/>
  <c r="G153" i="1"/>
  <c r="H153" i="1"/>
  <c r="F152" i="1"/>
  <c r="G152" i="1"/>
  <c r="H152" i="1"/>
  <c r="F151" i="1"/>
  <c r="H151" i="1" s="1"/>
  <c r="G151" i="1"/>
  <c r="F150" i="1"/>
  <c r="G150" i="1"/>
  <c r="F149" i="1"/>
  <c r="G149" i="1"/>
  <c r="H149" i="1"/>
  <c r="F148" i="1"/>
  <c r="H148" i="1" s="1"/>
  <c r="G148" i="1"/>
  <c r="F147" i="1"/>
  <c r="G147" i="1"/>
  <c r="H147" i="1"/>
  <c r="F146" i="1"/>
  <c r="G146" i="1"/>
  <c r="F145" i="1"/>
  <c r="G145" i="1"/>
  <c r="F144" i="1"/>
  <c r="G144" i="1"/>
  <c r="F143" i="1"/>
  <c r="G143" i="1"/>
  <c r="F142" i="1"/>
  <c r="H142" i="1" s="1"/>
  <c r="G142" i="1"/>
  <c r="F141" i="1"/>
  <c r="G141" i="1"/>
  <c r="F140" i="1"/>
  <c r="G140" i="1"/>
  <c r="F139" i="1"/>
  <c r="G139" i="1"/>
  <c r="F138" i="1"/>
  <c r="G138" i="1"/>
  <c r="H138" i="1"/>
  <c r="F137" i="1"/>
  <c r="G137" i="1"/>
  <c r="F136" i="1"/>
  <c r="G136" i="1"/>
  <c r="F135" i="1"/>
  <c r="H135" i="1" s="1"/>
  <c r="G135" i="1"/>
  <c r="F134" i="1"/>
  <c r="G134" i="1"/>
  <c r="F132" i="1"/>
  <c r="G132" i="1"/>
  <c r="F133" i="1"/>
  <c r="G133" i="1"/>
  <c r="F131" i="1"/>
  <c r="G131" i="1"/>
  <c r="F130" i="1"/>
  <c r="G130" i="1"/>
  <c r="F129" i="1"/>
  <c r="G129" i="1"/>
  <c r="F128" i="1"/>
  <c r="G128" i="1"/>
  <c r="F127" i="1"/>
  <c r="G127" i="1"/>
  <c r="F126" i="1"/>
  <c r="H126" i="1" s="1"/>
  <c r="G126" i="1"/>
  <c r="F125" i="1"/>
  <c r="G125" i="1"/>
  <c r="F124" i="1"/>
  <c r="G124" i="1"/>
  <c r="F123" i="1"/>
  <c r="G123" i="1"/>
  <c r="F122" i="1"/>
  <c r="G122" i="1"/>
  <c r="F121" i="1"/>
  <c r="G121" i="1"/>
  <c r="F120" i="1"/>
  <c r="H120" i="1" s="1"/>
  <c r="G120" i="1"/>
  <c r="F119" i="1"/>
  <c r="G119" i="1"/>
  <c r="F118" i="1"/>
  <c r="G118" i="1"/>
  <c r="F117" i="1"/>
  <c r="G117" i="1"/>
  <c r="F116" i="1"/>
  <c r="G116" i="1"/>
  <c r="F115" i="1"/>
  <c r="H115" i="1" s="1"/>
  <c r="G115" i="1"/>
  <c r="F114" i="1"/>
  <c r="G114" i="1"/>
  <c r="F113" i="1"/>
  <c r="G113" i="1"/>
  <c r="F112" i="1"/>
  <c r="G112" i="1"/>
  <c r="F111" i="1"/>
  <c r="G111" i="1"/>
  <c r="F110" i="1"/>
  <c r="G110" i="1"/>
  <c r="F109" i="1"/>
  <c r="G109" i="1"/>
  <c r="F108" i="1"/>
  <c r="G108" i="1"/>
  <c r="F107" i="1"/>
  <c r="G107" i="1"/>
  <c r="F106" i="1"/>
  <c r="G106" i="1"/>
  <c r="F105" i="1"/>
  <c r="H105" i="1" s="1"/>
  <c r="G105" i="1"/>
  <c r="F104" i="1"/>
  <c r="G104" i="1"/>
  <c r="F103" i="1"/>
  <c r="G103" i="1"/>
  <c r="F102" i="1"/>
  <c r="G102" i="1"/>
  <c r="F101" i="1"/>
  <c r="G101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76" i="1"/>
  <c r="F77" i="1"/>
  <c r="F78" i="1"/>
  <c r="F79" i="1"/>
  <c r="F80" i="1"/>
  <c r="F100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F75" i="1"/>
  <c r="G75" i="1"/>
  <c r="F74" i="1"/>
  <c r="G74" i="1"/>
  <c r="F73" i="1"/>
  <c r="G73" i="1"/>
  <c r="F72" i="1"/>
  <c r="G72" i="1"/>
  <c r="F71" i="1"/>
  <c r="G71" i="1"/>
  <c r="F70" i="1"/>
  <c r="G70" i="1"/>
  <c r="F69" i="1"/>
  <c r="G69" i="1"/>
  <c r="F68" i="1"/>
  <c r="G68" i="1"/>
  <c r="F67" i="1"/>
  <c r="G67" i="1"/>
  <c r="F66" i="1"/>
  <c r="G66" i="1"/>
  <c r="F65" i="1"/>
  <c r="G65" i="1"/>
  <c r="F64" i="1"/>
  <c r="G64" i="1"/>
  <c r="F63" i="1"/>
  <c r="G63" i="1"/>
  <c r="F62" i="1"/>
  <c r="G62" i="1"/>
  <c r="F61" i="1"/>
  <c r="G61" i="1"/>
  <c r="F60" i="1"/>
  <c r="G60" i="1"/>
  <c r="F59" i="1"/>
  <c r="G59" i="1"/>
  <c r="H139" i="1" l="1"/>
  <c r="H150" i="1"/>
  <c r="H106" i="1"/>
  <c r="H121" i="1"/>
  <c r="H125" i="1"/>
  <c r="H136" i="1"/>
  <c r="H129" i="1"/>
  <c r="H144" i="1"/>
  <c r="H145" i="1"/>
  <c r="H96" i="1"/>
  <c r="H141" i="1"/>
  <c r="H122" i="1"/>
  <c r="H119" i="1"/>
  <c r="H134" i="1"/>
  <c r="H137" i="1"/>
  <c r="H140" i="1"/>
  <c r="H143" i="1"/>
  <c r="H127" i="1"/>
  <c r="H109" i="1"/>
  <c r="H113" i="1"/>
  <c r="H124" i="1"/>
  <c r="H131" i="1"/>
  <c r="H146" i="1"/>
  <c r="H128" i="1"/>
  <c r="H75" i="1"/>
  <c r="H118" i="1"/>
  <c r="H110" i="1"/>
  <c r="H114" i="1"/>
  <c r="H132" i="1"/>
  <c r="H123" i="1"/>
  <c r="H66" i="1"/>
  <c r="H70" i="1"/>
  <c r="H133" i="1"/>
  <c r="H130" i="1"/>
  <c r="H84" i="1"/>
  <c r="H108" i="1"/>
  <c r="H111" i="1"/>
  <c r="H117" i="1"/>
  <c r="H101" i="1"/>
  <c r="H112" i="1"/>
  <c r="H92" i="1"/>
  <c r="H102" i="1"/>
  <c r="H59" i="1"/>
  <c r="H103" i="1"/>
  <c r="H104" i="1"/>
  <c r="H107" i="1"/>
  <c r="H116" i="1"/>
  <c r="H73" i="1"/>
  <c r="H95" i="1"/>
  <c r="H87" i="1"/>
  <c r="H63" i="1"/>
  <c r="H67" i="1"/>
  <c r="H71" i="1"/>
  <c r="H98" i="1"/>
  <c r="H90" i="1"/>
  <c r="H82" i="1"/>
  <c r="H97" i="1"/>
  <c r="H89" i="1"/>
  <c r="H88" i="1"/>
  <c r="H94" i="1"/>
  <c r="H72" i="1"/>
  <c r="H60" i="1"/>
  <c r="H69" i="1"/>
  <c r="H93" i="1"/>
  <c r="H100" i="1"/>
  <c r="H77" i="1"/>
  <c r="H74" i="1"/>
  <c r="H99" i="1"/>
  <c r="H91" i="1"/>
  <c r="H81" i="1"/>
  <c r="H86" i="1"/>
  <c r="H83" i="1"/>
  <c r="H85" i="1"/>
  <c r="H62" i="1"/>
  <c r="H79" i="1"/>
  <c r="H68" i="1"/>
  <c r="H80" i="1"/>
  <c r="H61" i="1"/>
  <c r="H65" i="1"/>
  <c r="H78" i="1"/>
  <c r="H64" i="1"/>
  <c r="H76" i="1"/>
  <c r="F58" i="1"/>
  <c r="G58" i="1"/>
  <c r="F57" i="1"/>
  <c r="G57" i="1"/>
  <c r="F56" i="1"/>
  <c r="G56" i="1"/>
  <c r="H56" i="1" s="1"/>
  <c r="F55" i="1"/>
  <c r="G55" i="1"/>
  <c r="F54" i="1"/>
  <c r="G54" i="1"/>
  <c r="F53" i="1"/>
  <c r="G53" i="1"/>
  <c r="F52" i="1"/>
  <c r="G52" i="1"/>
  <c r="H52" i="1" s="1"/>
  <c r="F51" i="1"/>
  <c r="G51" i="1"/>
  <c r="F50" i="1"/>
  <c r="G50" i="1"/>
  <c r="F49" i="1"/>
  <c r="G49" i="1"/>
  <c r="F48" i="1"/>
  <c r="G48" i="1"/>
  <c r="F47" i="1"/>
  <c r="G47" i="1"/>
  <c r="F46" i="1"/>
  <c r="G46" i="1"/>
  <c r="F45" i="1"/>
  <c r="G45" i="1"/>
  <c r="F44" i="1"/>
  <c r="G44" i="1"/>
  <c r="F43" i="1"/>
  <c r="G43" i="1"/>
  <c r="F42" i="1"/>
  <c r="G42" i="1"/>
  <c r="F41" i="1"/>
  <c r="G41" i="1"/>
  <c r="F40" i="1"/>
  <c r="G40" i="1"/>
  <c r="F39" i="1"/>
  <c r="G39" i="1"/>
  <c r="F38" i="1"/>
  <c r="G38" i="1"/>
  <c r="F37" i="1"/>
  <c r="G37" i="1"/>
  <c r="F36" i="1"/>
  <c r="G36" i="1"/>
  <c r="F35" i="1"/>
  <c r="G35" i="1"/>
  <c r="F34" i="1"/>
  <c r="G34" i="1"/>
  <c r="F33" i="1"/>
  <c r="G33" i="1"/>
  <c r="F32" i="1"/>
  <c r="G32" i="1"/>
  <c r="F31" i="1"/>
  <c r="G31" i="1"/>
  <c r="F30" i="1"/>
  <c r="G30" i="1"/>
  <c r="F29" i="1"/>
  <c r="G29" i="1"/>
  <c r="F28" i="1"/>
  <c r="G28" i="1"/>
  <c r="F27" i="1"/>
  <c r="G27" i="1"/>
  <c r="F26" i="1"/>
  <c r="G26" i="1"/>
  <c r="F25" i="1"/>
  <c r="G25" i="1"/>
  <c r="F24" i="1"/>
  <c r="G24" i="1"/>
  <c r="F23" i="1"/>
  <c r="G23" i="1"/>
  <c r="F22" i="1"/>
  <c r="G22" i="1"/>
  <c r="F21" i="1"/>
  <c r="G21" i="1"/>
  <c r="H53" i="1" l="1"/>
  <c r="H38" i="1"/>
  <c r="H58" i="1"/>
  <c r="H55" i="1"/>
  <c r="H25" i="1"/>
  <c r="H45" i="1"/>
  <c r="H50" i="1"/>
  <c r="H31" i="1"/>
  <c r="H32" i="1"/>
  <c r="H28" i="1"/>
  <c r="H46" i="1"/>
  <c r="H44" i="1"/>
  <c r="H41" i="1"/>
  <c r="H34" i="1"/>
  <c r="H23" i="1"/>
  <c r="H36" i="1"/>
  <c r="H43" i="1"/>
  <c r="H57" i="1"/>
  <c r="H33" i="1"/>
  <c r="H30" i="1"/>
  <c r="H47" i="1"/>
  <c r="H42" i="1"/>
  <c r="H26" i="1"/>
  <c r="H29" i="1"/>
  <c r="H39" i="1"/>
  <c r="H21" i="1"/>
  <c r="H37" i="1"/>
  <c r="H49" i="1"/>
  <c r="H24" i="1"/>
  <c r="H48" i="1"/>
  <c r="H40" i="1"/>
  <c r="H35" i="1"/>
  <c r="H27" i="1"/>
  <c r="H51" i="1"/>
  <c r="H22" i="1"/>
  <c r="H54" i="1"/>
  <c r="F2" i="1"/>
  <c r="G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H18" i="1" l="1"/>
  <c r="H19" i="1"/>
  <c r="H11" i="1"/>
  <c r="H3" i="1"/>
  <c r="H17" i="1"/>
  <c r="H5" i="1"/>
  <c r="H16" i="1"/>
  <c r="H8" i="1"/>
  <c r="H14" i="1"/>
  <c r="H10" i="1"/>
  <c r="H7" i="1"/>
  <c r="H13" i="1"/>
  <c r="H9" i="1"/>
  <c r="H2" i="1"/>
  <c r="H4" i="1"/>
  <c r="H15" i="1"/>
  <c r="H12" i="1"/>
  <c r="H6" i="1"/>
  <c r="H20" i="1"/>
</calcChain>
</file>

<file path=xl/sharedStrings.xml><?xml version="1.0" encoding="utf-8"?>
<sst xmlns="http://schemas.openxmlformats.org/spreadsheetml/2006/main" count="494" uniqueCount="44">
  <si>
    <t xml:space="preserve">VIGNOLI </t>
  </si>
  <si>
    <t>REGINALDO ALENCAR</t>
  </si>
  <si>
    <t>SUNTEB GESTÃO</t>
  </si>
  <si>
    <t>GREENLIFE A - INICIA JUNHO</t>
  </si>
  <si>
    <t>MARFRAN</t>
  </si>
  <si>
    <t xml:space="preserve">COND.ED EAST SIDE </t>
  </si>
  <si>
    <t>ATL. DERCIO 1</t>
  </si>
  <si>
    <t>ROLIM</t>
  </si>
  <si>
    <t xml:space="preserve"> FAZENDA IPU TIJUCA</t>
  </si>
  <si>
    <t>REGINA ALIMENTOS</t>
  </si>
  <si>
    <t>GUARARAPES</t>
  </si>
  <si>
    <t>CEPECE 05</t>
  </si>
  <si>
    <t>CRISTAL AGROPECUÁRIA</t>
  </si>
  <si>
    <t>CEPECE 04</t>
  </si>
  <si>
    <t>IPU</t>
  </si>
  <si>
    <t>ATL. FÁTIMA 3</t>
  </si>
  <si>
    <t>MERC. LADEIRA GRANDE</t>
  </si>
  <si>
    <t>ATL. OBERDAN</t>
  </si>
  <si>
    <t>ATL. VARJOTA 01</t>
  </si>
  <si>
    <t>ATL. MANUT FGO</t>
  </si>
  <si>
    <t>ATL. SANTA RITA</t>
  </si>
  <si>
    <t>LUAN MACHADO</t>
  </si>
  <si>
    <t>ATL. SANTA CLARA</t>
  </si>
  <si>
    <t>ATL. CALIFORNIA</t>
  </si>
  <si>
    <t>ATL. PACATUBA</t>
  </si>
  <si>
    <t>ALEX USINA GRANDE</t>
  </si>
  <si>
    <t>POLE ALIMENTOS</t>
  </si>
  <si>
    <t>ALEX USINA PEQUENA</t>
  </si>
  <si>
    <t>TOTAL Á PAGAR</t>
  </si>
  <si>
    <t>DESCONTO NFS-E</t>
  </si>
  <si>
    <t>DESCONTO GESTÃO</t>
  </si>
  <si>
    <t>MÊS DE COMPETÊNCIA</t>
  </si>
  <si>
    <t>CLIENTE FINAL</t>
  </si>
  <si>
    <t>USINA</t>
  </si>
  <si>
    <t>GERADOR</t>
  </si>
  <si>
    <t>FATURAMENTO</t>
  </si>
  <si>
    <t>ATL DERCIO 1</t>
  </si>
  <si>
    <t>ATL VARJOTA 01</t>
  </si>
  <si>
    <t>FAZENDA IPU TIJUCA</t>
  </si>
  <si>
    <t>ATL. SANTA CLARA - LUAN</t>
  </si>
  <si>
    <t>ATL. SANTA CLARA - BRUNO</t>
  </si>
  <si>
    <t>ATL. CALIFORNIA - BRUNO</t>
  </si>
  <si>
    <t>ATL. SANTA RITA - BRUNO</t>
  </si>
  <si>
    <t>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</si>
</sst>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B54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2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" fontId="0" fillId="0" borderId="0" xfId="0" applyNumberForma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5D39-B272-4BDB-AA66-04D7F2E886E7}">
  <sheetPr filterMode="1"/>
  <dimension ref="A1:H163"/>
  <sheetViews>
    <sheetView tabSelected="1" zoomScaleNormal="100" workbookViewId="0">
      <selection activeCell="E166" sqref="E166"/>
    </sheetView>
  </sheetViews>
  <sheetFormatPr defaultColWidth="8.44140625" defaultRowHeight="14.4" x14ac:dyDescent="0.3"/>
  <cols>
    <col min="1" max="1" width="19.33203125" style="2" bestFit="1" customWidth="1"/>
    <col min="2" max="3" width="25.5546875" style="2" bestFit="1" customWidth="1"/>
    <col min="4" max="4" width="20.44140625" style="2" bestFit="1" customWidth="1"/>
    <col min="5" max="5" width="28.44140625" style="1" bestFit="1" customWidth="1"/>
    <col min="6" max="6" width="17.88671875" style="1" bestFit="1" customWidth="1"/>
    <col min="7" max="7" width="16" style="1" bestFit="1" customWidth="1"/>
    <col min="8" max="8" width="14.5546875" style="1" bestFit="1" customWidth="1"/>
    <col min="9" max="9" width="14.5546875" bestFit="1" customWidth="1"/>
  </cols>
  <sheetData>
    <row r="1" spans="1:8" x14ac:dyDescent="0.3">
      <c r="A1" s="4" t="s">
        <v>34</v>
      </c>
      <c r="B1" s="4" t="s">
        <v>33</v>
      </c>
      <c r="C1" s="4" t="s">
        <v>32</v>
      </c>
      <c r="D1" s="4" t="s">
        <v>31</v>
      </c>
      <c r="E1" s="4" t="s">
        <v>35</v>
      </c>
      <c r="F1" s="3" t="s">
        <v>30</v>
      </c>
      <c r="G1" s="3" t="s">
        <v>29</v>
      </c>
      <c r="H1" s="3" t="s">
        <v>28</v>
      </c>
    </row>
    <row r="2" spans="1:8" hidden="1" x14ac:dyDescent="0.3">
      <c r="A2" s="2" t="s">
        <v>8</v>
      </c>
      <c r="B2" s="2" t="s">
        <v>27</v>
      </c>
      <c r="C2" s="2" t="s">
        <v>26</v>
      </c>
      <c r="D2" s="5">
        <v>45992</v>
      </c>
      <c r="E2" s="1">
        <v>625.29999999999995</v>
      </c>
      <c r="F2" s="1">
        <f t="shared" ref="F2:F29" si="0">E2*0.1</f>
        <v>62.53</v>
      </c>
      <c r="G2" s="1">
        <f t="shared" ref="G2:G29" si="1">E2*0.1133</f>
        <v>70.846489999999989</v>
      </c>
      <c r="H2" s="1">
        <f t="shared" ref="H2:H29" si="2">E2-F2-G2</f>
        <v>491.92350999999996</v>
      </c>
    </row>
    <row r="3" spans="1:8" hidden="1" x14ac:dyDescent="0.3">
      <c r="A3" s="2" t="s">
        <v>8</v>
      </c>
      <c r="B3" s="2" t="s">
        <v>25</v>
      </c>
      <c r="C3" s="2" t="s">
        <v>24</v>
      </c>
      <c r="D3" s="5">
        <v>45992</v>
      </c>
      <c r="E3" s="1">
        <v>4282.24</v>
      </c>
      <c r="F3" s="1">
        <f t="shared" si="0"/>
        <v>428.22399999999999</v>
      </c>
      <c r="G3" s="1">
        <f t="shared" si="1"/>
        <v>485.17779199999995</v>
      </c>
      <c r="H3" s="1">
        <f t="shared" si="2"/>
        <v>3368.8382079999997</v>
      </c>
    </row>
    <row r="4" spans="1:8" hidden="1" x14ac:dyDescent="0.3">
      <c r="A4" s="2" t="s">
        <v>8</v>
      </c>
      <c r="B4" s="2" t="s">
        <v>21</v>
      </c>
      <c r="C4" s="2" t="s">
        <v>23</v>
      </c>
      <c r="D4" s="5">
        <v>45992</v>
      </c>
      <c r="E4" s="1">
        <v>170.24</v>
      </c>
      <c r="F4" s="1">
        <f t="shared" si="0"/>
        <v>17.024000000000001</v>
      </c>
      <c r="G4" s="1">
        <f t="shared" si="1"/>
        <v>19.288192000000002</v>
      </c>
      <c r="H4" s="1">
        <f t="shared" si="2"/>
        <v>133.927808</v>
      </c>
    </row>
    <row r="5" spans="1:8" hidden="1" x14ac:dyDescent="0.3">
      <c r="A5" s="2" t="s">
        <v>8</v>
      </c>
      <c r="B5" s="2" t="s">
        <v>21</v>
      </c>
      <c r="C5" s="2" t="s">
        <v>22</v>
      </c>
      <c r="D5" s="5">
        <v>45992</v>
      </c>
      <c r="E5" s="1">
        <v>4209.28</v>
      </c>
      <c r="F5" s="1">
        <f t="shared" si="0"/>
        <v>420.928</v>
      </c>
      <c r="G5" s="1">
        <f t="shared" si="1"/>
        <v>476.91142399999995</v>
      </c>
      <c r="H5" s="1">
        <f t="shared" si="2"/>
        <v>3311.440576</v>
      </c>
    </row>
    <row r="6" spans="1:8" hidden="1" x14ac:dyDescent="0.3">
      <c r="A6" s="2" t="s">
        <v>8</v>
      </c>
      <c r="B6" s="2" t="s">
        <v>21</v>
      </c>
      <c r="C6" s="2" t="s">
        <v>20</v>
      </c>
      <c r="D6" s="5">
        <v>45992</v>
      </c>
      <c r="E6" s="1">
        <v>16.899999999999999</v>
      </c>
      <c r="F6" s="1">
        <f t="shared" si="0"/>
        <v>1.69</v>
      </c>
      <c r="G6" s="1">
        <f t="shared" si="1"/>
        <v>1.9147699999999999</v>
      </c>
      <c r="H6" s="1">
        <f t="shared" si="2"/>
        <v>13.29523</v>
      </c>
    </row>
    <row r="7" spans="1:8" hidden="1" x14ac:dyDescent="0.3">
      <c r="A7" s="2" t="s">
        <v>8</v>
      </c>
      <c r="B7" s="2" t="s">
        <v>16</v>
      </c>
      <c r="C7" s="2" t="s">
        <v>6</v>
      </c>
      <c r="D7" s="5">
        <v>45992</v>
      </c>
      <c r="E7" s="1">
        <v>103.9</v>
      </c>
      <c r="F7" s="1">
        <f t="shared" si="0"/>
        <v>10.39</v>
      </c>
      <c r="G7" s="1">
        <f t="shared" si="1"/>
        <v>11.77187</v>
      </c>
      <c r="H7" s="1">
        <f t="shared" si="2"/>
        <v>81.738130000000012</v>
      </c>
    </row>
    <row r="8" spans="1:8" hidden="1" x14ac:dyDescent="0.3">
      <c r="A8" s="2" t="s">
        <v>8</v>
      </c>
      <c r="B8" s="2" t="s">
        <v>16</v>
      </c>
      <c r="C8" s="2" t="s">
        <v>19</v>
      </c>
      <c r="D8" s="5">
        <v>45992</v>
      </c>
      <c r="E8" s="1">
        <v>2209.35</v>
      </c>
      <c r="F8" s="1">
        <f t="shared" si="0"/>
        <v>220.935</v>
      </c>
      <c r="G8" s="1">
        <f t="shared" si="1"/>
        <v>250.31935499999997</v>
      </c>
      <c r="H8" s="1">
        <f t="shared" si="2"/>
        <v>1738.0956449999999</v>
      </c>
    </row>
    <row r="9" spans="1:8" hidden="1" x14ac:dyDescent="0.3">
      <c r="A9" s="2" t="s">
        <v>8</v>
      </c>
      <c r="B9" s="2" t="s">
        <v>16</v>
      </c>
      <c r="C9" s="2" t="s">
        <v>18</v>
      </c>
      <c r="D9" s="5">
        <v>45992</v>
      </c>
      <c r="E9" s="1">
        <v>216.45</v>
      </c>
      <c r="F9" s="1">
        <f t="shared" si="0"/>
        <v>21.645</v>
      </c>
      <c r="G9" s="1">
        <f t="shared" si="1"/>
        <v>24.523784999999997</v>
      </c>
      <c r="H9" s="1">
        <f t="shared" si="2"/>
        <v>170.28121499999997</v>
      </c>
    </row>
    <row r="10" spans="1:8" hidden="1" x14ac:dyDescent="0.3">
      <c r="A10" s="2" t="s">
        <v>8</v>
      </c>
      <c r="B10" s="2" t="s">
        <v>16</v>
      </c>
      <c r="C10" s="2" t="s">
        <v>17</v>
      </c>
      <c r="D10" s="5">
        <v>45992</v>
      </c>
      <c r="E10" s="1">
        <v>182.4</v>
      </c>
      <c r="F10" s="1">
        <f t="shared" si="0"/>
        <v>18.240000000000002</v>
      </c>
      <c r="G10" s="1">
        <f t="shared" si="1"/>
        <v>20.66592</v>
      </c>
      <c r="H10" s="1">
        <f t="shared" si="2"/>
        <v>143.49408</v>
      </c>
    </row>
    <row r="11" spans="1:8" hidden="1" x14ac:dyDescent="0.3">
      <c r="A11" s="2" t="s">
        <v>8</v>
      </c>
      <c r="B11" s="2" t="s">
        <v>16</v>
      </c>
      <c r="C11" s="2" t="s">
        <v>15</v>
      </c>
      <c r="D11" s="5">
        <v>45992</v>
      </c>
      <c r="E11" s="1">
        <v>1202.5</v>
      </c>
      <c r="F11" s="1">
        <f t="shared" si="0"/>
        <v>120.25</v>
      </c>
      <c r="G11" s="1">
        <f t="shared" si="1"/>
        <v>136.24324999999999</v>
      </c>
      <c r="H11" s="1">
        <f t="shared" si="2"/>
        <v>946.00675000000001</v>
      </c>
    </row>
    <row r="12" spans="1:8" hidden="1" x14ac:dyDescent="0.3">
      <c r="A12" s="2" t="s">
        <v>8</v>
      </c>
      <c r="B12" s="2" t="s">
        <v>14</v>
      </c>
      <c r="C12" s="2" t="s">
        <v>12</v>
      </c>
      <c r="D12" s="5">
        <v>45992</v>
      </c>
      <c r="E12" s="1">
        <v>0</v>
      </c>
      <c r="F12" s="1">
        <f t="shared" si="0"/>
        <v>0</v>
      </c>
      <c r="G12" s="1">
        <f t="shared" si="1"/>
        <v>0</v>
      </c>
      <c r="H12" s="1">
        <f t="shared" si="2"/>
        <v>0</v>
      </c>
    </row>
    <row r="13" spans="1:8" hidden="1" x14ac:dyDescent="0.3">
      <c r="A13" s="2" t="s">
        <v>8</v>
      </c>
      <c r="B13" s="2" t="s">
        <v>13</v>
      </c>
      <c r="C13" s="2" t="s">
        <v>12</v>
      </c>
      <c r="D13" s="5">
        <v>45992</v>
      </c>
      <c r="E13" s="1">
        <v>0</v>
      </c>
      <c r="F13" s="1">
        <f t="shared" si="0"/>
        <v>0</v>
      </c>
      <c r="G13" s="1">
        <f t="shared" si="1"/>
        <v>0</v>
      </c>
      <c r="H13" s="1">
        <f t="shared" si="2"/>
        <v>0</v>
      </c>
    </row>
    <row r="14" spans="1:8" hidden="1" x14ac:dyDescent="0.3">
      <c r="A14" s="2" t="s">
        <v>8</v>
      </c>
      <c r="B14" s="2" t="s">
        <v>11</v>
      </c>
      <c r="C14" s="2" t="s">
        <v>9</v>
      </c>
      <c r="D14" s="5">
        <v>45992</v>
      </c>
      <c r="E14" s="1">
        <v>1301.1199999999999</v>
      </c>
      <c r="F14" s="1">
        <f t="shared" si="0"/>
        <v>130.11199999999999</v>
      </c>
      <c r="G14" s="1">
        <f t="shared" si="1"/>
        <v>147.41689599999998</v>
      </c>
      <c r="H14" s="1">
        <f t="shared" si="2"/>
        <v>1023.5911039999999</v>
      </c>
    </row>
    <row r="15" spans="1:8" hidden="1" x14ac:dyDescent="0.3">
      <c r="A15" s="2" t="s">
        <v>8</v>
      </c>
      <c r="B15" s="2" t="s">
        <v>10</v>
      </c>
      <c r="C15" s="2" t="s">
        <v>9</v>
      </c>
      <c r="D15" s="5">
        <v>45992</v>
      </c>
      <c r="E15" s="1">
        <v>1301.1199999999999</v>
      </c>
      <c r="F15" s="1">
        <f t="shared" si="0"/>
        <v>130.11199999999999</v>
      </c>
      <c r="G15" s="1">
        <f t="shared" si="1"/>
        <v>147.41689599999998</v>
      </c>
      <c r="H15" s="1">
        <f t="shared" si="2"/>
        <v>1023.5911039999999</v>
      </c>
    </row>
    <row r="16" spans="1:8" hidden="1" x14ac:dyDescent="0.3">
      <c r="A16" s="2" t="s">
        <v>8</v>
      </c>
      <c r="B16" s="2" t="s">
        <v>7</v>
      </c>
      <c r="C16" s="2" t="s">
        <v>6</v>
      </c>
      <c r="D16" s="5">
        <v>45992</v>
      </c>
      <c r="E16" s="1">
        <v>3385.3</v>
      </c>
      <c r="F16" s="1">
        <f t="shared" si="0"/>
        <v>338.53000000000003</v>
      </c>
      <c r="G16" s="1">
        <f t="shared" si="1"/>
        <v>383.55448999999999</v>
      </c>
      <c r="H16" s="1">
        <f t="shared" si="2"/>
        <v>2663.21551</v>
      </c>
    </row>
    <row r="17" spans="1:8" hidden="1" x14ac:dyDescent="0.3">
      <c r="A17" s="2" t="s">
        <v>2</v>
      </c>
      <c r="B17" s="2" t="s">
        <v>1</v>
      </c>
      <c r="C17" s="2" t="s">
        <v>5</v>
      </c>
      <c r="D17" s="5">
        <v>45992</v>
      </c>
      <c r="E17" s="1">
        <v>2997.06</v>
      </c>
      <c r="F17" s="1">
        <f t="shared" si="0"/>
        <v>299.70600000000002</v>
      </c>
      <c r="G17" s="1">
        <f t="shared" si="1"/>
        <v>339.56689799999998</v>
      </c>
      <c r="H17" s="1">
        <f t="shared" si="2"/>
        <v>2357.7871019999998</v>
      </c>
    </row>
    <row r="18" spans="1:8" hidden="1" x14ac:dyDescent="0.3">
      <c r="A18" s="2" t="s">
        <v>2</v>
      </c>
      <c r="B18" s="2" t="s">
        <v>1</v>
      </c>
      <c r="C18" s="2" t="s">
        <v>4</v>
      </c>
      <c r="D18" s="5">
        <v>45992</v>
      </c>
      <c r="E18" s="1">
        <v>9098.8799999999992</v>
      </c>
      <c r="F18" s="1">
        <f t="shared" si="0"/>
        <v>909.88799999999992</v>
      </c>
      <c r="G18" s="1">
        <f t="shared" si="1"/>
        <v>1030.903104</v>
      </c>
      <c r="H18" s="1">
        <f t="shared" si="2"/>
        <v>7158.0888959999993</v>
      </c>
    </row>
    <row r="19" spans="1:8" hidden="1" x14ac:dyDescent="0.3">
      <c r="A19" s="2" t="s">
        <v>2</v>
      </c>
      <c r="B19" s="2" t="s">
        <v>1</v>
      </c>
      <c r="C19" s="2" t="s">
        <v>3</v>
      </c>
      <c r="D19" s="5">
        <v>45992</v>
      </c>
      <c r="E19" s="1">
        <v>8613.02</v>
      </c>
      <c r="F19" s="1">
        <f t="shared" si="0"/>
        <v>861.30200000000013</v>
      </c>
      <c r="G19" s="1">
        <f t="shared" si="1"/>
        <v>975.85516600000005</v>
      </c>
      <c r="H19" s="1">
        <f t="shared" si="2"/>
        <v>6775.8628340000005</v>
      </c>
    </row>
    <row r="20" spans="1:8" hidden="1" x14ac:dyDescent="0.3">
      <c r="A20" s="2" t="s">
        <v>2</v>
      </c>
      <c r="B20" s="2" t="s">
        <v>1</v>
      </c>
      <c r="C20" s="2" t="s">
        <v>0</v>
      </c>
      <c r="D20" s="5">
        <v>45992</v>
      </c>
      <c r="E20" s="1">
        <v>3396.6</v>
      </c>
      <c r="F20" s="1">
        <f t="shared" si="0"/>
        <v>339.66</v>
      </c>
      <c r="G20" s="1">
        <f t="shared" si="1"/>
        <v>384.83477999999997</v>
      </c>
      <c r="H20" s="1">
        <f t="shared" si="2"/>
        <v>2672.1052199999999</v>
      </c>
    </row>
    <row r="21" spans="1:8" hidden="1" x14ac:dyDescent="0.3">
      <c r="A21" s="2" t="s">
        <v>8</v>
      </c>
      <c r="B21" s="2" t="s">
        <v>27</v>
      </c>
      <c r="C21" s="2" t="s">
        <v>26</v>
      </c>
      <c r="D21" s="5">
        <v>46023</v>
      </c>
      <c r="E21" s="1">
        <v>718.9</v>
      </c>
      <c r="F21" s="1">
        <f t="shared" si="0"/>
        <v>71.89</v>
      </c>
      <c r="G21" s="1">
        <f t="shared" si="1"/>
        <v>81.451369999999997</v>
      </c>
      <c r="H21" s="1">
        <f t="shared" si="2"/>
        <v>565.55862999999999</v>
      </c>
    </row>
    <row r="22" spans="1:8" hidden="1" x14ac:dyDescent="0.3">
      <c r="A22" s="2" t="s">
        <v>8</v>
      </c>
      <c r="B22" s="2" t="s">
        <v>25</v>
      </c>
      <c r="C22" s="2" t="s">
        <v>24</v>
      </c>
      <c r="D22" s="5">
        <v>46023</v>
      </c>
      <c r="E22" s="1">
        <v>5054.72</v>
      </c>
      <c r="F22" s="1">
        <f t="shared" si="0"/>
        <v>505.47200000000004</v>
      </c>
      <c r="G22" s="1">
        <f t="shared" si="1"/>
        <v>572.69977600000004</v>
      </c>
      <c r="H22" s="1">
        <f t="shared" si="2"/>
        <v>3976.5482240000006</v>
      </c>
    </row>
    <row r="23" spans="1:8" hidden="1" x14ac:dyDescent="0.3">
      <c r="A23" s="2" t="s">
        <v>8</v>
      </c>
      <c r="B23" s="2" t="s">
        <v>21</v>
      </c>
      <c r="C23" s="2" t="s">
        <v>23</v>
      </c>
      <c r="D23" s="5">
        <v>46023</v>
      </c>
      <c r="E23" s="1">
        <v>189.44</v>
      </c>
      <c r="F23" s="1">
        <f t="shared" si="0"/>
        <v>18.943999999999999</v>
      </c>
      <c r="G23" s="1">
        <f t="shared" si="1"/>
        <v>21.463552</v>
      </c>
      <c r="H23" s="1">
        <f t="shared" si="2"/>
        <v>149.03244800000002</v>
      </c>
    </row>
    <row r="24" spans="1:8" hidden="1" x14ac:dyDescent="0.3">
      <c r="A24" s="2" t="s">
        <v>8</v>
      </c>
      <c r="B24" s="2" t="s">
        <v>21</v>
      </c>
      <c r="C24" s="2" t="s">
        <v>22</v>
      </c>
      <c r="D24" s="5">
        <v>46023</v>
      </c>
      <c r="E24" s="1">
        <v>6490.24</v>
      </c>
      <c r="F24" s="1">
        <f t="shared" si="0"/>
        <v>649.024</v>
      </c>
      <c r="G24" s="1">
        <f t="shared" si="1"/>
        <v>735.34419199999991</v>
      </c>
      <c r="H24" s="1">
        <f t="shared" si="2"/>
        <v>5105.8718079999999</v>
      </c>
    </row>
    <row r="25" spans="1:8" hidden="1" x14ac:dyDescent="0.3">
      <c r="A25" s="2" t="s">
        <v>8</v>
      </c>
      <c r="B25" s="2" t="s">
        <v>21</v>
      </c>
      <c r="C25" s="2" t="s">
        <v>20</v>
      </c>
      <c r="D25" s="5">
        <v>46023</v>
      </c>
      <c r="E25" s="1">
        <v>16.899999999999999</v>
      </c>
      <c r="F25" s="1">
        <f t="shared" si="0"/>
        <v>1.69</v>
      </c>
      <c r="G25" s="1">
        <f t="shared" si="1"/>
        <v>1.9147699999999999</v>
      </c>
      <c r="H25" s="1">
        <f t="shared" si="2"/>
        <v>13.29523</v>
      </c>
    </row>
    <row r="26" spans="1:8" hidden="1" x14ac:dyDescent="0.3">
      <c r="A26" s="2" t="s">
        <v>8</v>
      </c>
      <c r="B26" s="2" t="s">
        <v>16</v>
      </c>
      <c r="C26" s="2" t="s">
        <v>6</v>
      </c>
      <c r="D26" s="5">
        <v>46023</v>
      </c>
      <c r="E26" s="1">
        <v>293.82</v>
      </c>
      <c r="F26" s="1">
        <f t="shared" si="0"/>
        <v>29.382000000000001</v>
      </c>
      <c r="G26" s="1">
        <f t="shared" si="1"/>
        <v>33.289805999999999</v>
      </c>
      <c r="H26" s="1">
        <f t="shared" si="2"/>
        <v>231.14819399999999</v>
      </c>
    </row>
    <row r="27" spans="1:8" hidden="1" x14ac:dyDescent="0.3">
      <c r="A27" s="2" t="s">
        <v>8</v>
      </c>
      <c r="B27" s="2" t="s">
        <v>16</v>
      </c>
      <c r="C27" s="2" t="s">
        <v>19</v>
      </c>
      <c r="D27" s="5">
        <v>46023</v>
      </c>
      <c r="E27" s="1">
        <v>2245.1</v>
      </c>
      <c r="F27" s="1">
        <f t="shared" si="0"/>
        <v>224.51</v>
      </c>
      <c r="G27" s="1">
        <f t="shared" si="1"/>
        <v>254.36982999999998</v>
      </c>
      <c r="H27" s="1">
        <f t="shared" si="2"/>
        <v>1766.2201700000001</v>
      </c>
    </row>
    <row r="28" spans="1:8" hidden="1" x14ac:dyDescent="0.3">
      <c r="A28" s="2" t="s">
        <v>8</v>
      </c>
      <c r="B28" s="2" t="s">
        <v>16</v>
      </c>
      <c r="C28" s="2" t="s">
        <v>18</v>
      </c>
      <c r="D28" s="5">
        <v>46023</v>
      </c>
      <c r="E28" s="1">
        <v>1179.75</v>
      </c>
      <c r="F28" s="1">
        <f t="shared" si="0"/>
        <v>117.97500000000001</v>
      </c>
      <c r="G28" s="1">
        <f t="shared" si="1"/>
        <v>133.66567499999999</v>
      </c>
      <c r="H28" s="1">
        <f t="shared" si="2"/>
        <v>928.10932500000013</v>
      </c>
    </row>
    <row r="29" spans="1:8" hidden="1" x14ac:dyDescent="0.3">
      <c r="A29" s="2" t="s">
        <v>8</v>
      </c>
      <c r="B29" s="2" t="s">
        <v>16</v>
      </c>
      <c r="C29" s="2" t="s">
        <v>17</v>
      </c>
      <c r="D29" s="5">
        <v>46023</v>
      </c>
      <c r="E29" s="1">
        <v>1865.5</v>
      </c>
      <c r="F29" s="1">
        <f t="shared" si="0"/>
        <v>186.55</v>
      </c>
      <c r="G29" s="1">
        <f t="shared" si="1"/>
        <v>211.36115000000001</v>
      </c>
      <c r="H29" s="1">
        <f t="shared" si="2"/>
        <v>1467.5888500000001</v>
      </c>
    </row>
    <row r="30" spans="1:8" hidden="1" x14ac:dyDescent="0.3">
      <c r="A30" s="2" t="s">
        <v>8</v>
      </c>
      <c r="B30" s="2" t="s">
        <v>16</v>
      </c>
      <c r="C30" s="2" t="s">
        <v>15</v>
      </c>
      <c r="D30" s="5">
        <v>46023</v>
      </c>
      <c r="E30" s="1">
        <v>107.52</v>
      </c>
      <c r="F30" s="1">
        <f t="shared" ref="F30:F131" si="3">E30*0.1</f>
        <v>10.752000000000001</v>
      </c>
      <c r="G30" s="1">
        <f t="shared" ref="G30:G131" si="4">E30*0.1133</f>
        <v>12.182015999999999</v>
      </c>
      <c r="H30" s="1">
        <f t="shared" ref="H30:H131" si="5">E30-F30-G30</f>
        <v>84.585983999999996</v>
      </c>
    </row>
    <row r="31" spans="1:8" hidden="1" x14ac:dyDescent="0.3">
      <c r="A31" s="2" t="s">
        <v>8</v>
      </c>
      <c r="B31" s="2" t="s">
        <v>14</v>
      </c>
      <c r="C31" s="2" t="s">
        <v>12</v>
      </c>
      <c r="D31" s="5">
        <v>46023</v>
      </c>
      <c r="E31" s="1">
        <v>0</v>
      </c>
      <c r="F31" s="1">
        <f t="shared" si="3"/>
        <v>0</v>
      </c>
      <c r="G31" s="1">
        <f t="shared" si="4"/>
        <v>0</v>
      </c>
      <c r="H31" s="1">
        <f t="shared" si="5"/>
        <v>0</v>
      </c>
    </row>
    <row r="32" spans="1:8" hidden="1" x14ac:dyDescent="0.3">
      <c r="A32" s="2" t="s">
        <v>8</v>
      </c>
      <c r="B32" s="2" t="s">
        <v>13</v>
      </c>
      <c r="C32" s="2" t="s">
        <v>12</v>
      </c>
      <c r="D32" s="5">
        <v>46023</v>
      </c>
      <c r="E32" s="1">
        <v>0</v>
      </c>
      <c r="F32" s="1">
        <f t="shared" si="3"/>
        <v>0</v>
      </c>
      <c r="G32" s="1">
        <f t="shared" si="4"/>
        <v>0</v>
      </c>
      <c r="H32" s="1">
        <f t="shared" si="5"/>
        <v>0</v>
      </c>
    </row>
    <row r="33" spans="1:8" hidden="1" x14ac:dyDescent="0.3">
      <c r="A33" s="2" t="s">
        <v>8</v>
      </c>
      <c r="B33" s="2" t="s">
        <v>11</v>
      </c>
      <c r="C33" s="2" t="s">
        <v>9</v>
      </c>
      <c r="D33" s="5">
        <v>46023</v>
      </c>
      <c r="E33" s="1">
        <v>5532.8</v>
      </c>
      <c r="F33" s="1">
        <f t="shared" si="3"/>
        <v>553.28000000000009</v>
      </c>
      <c r="G33" s="1">
        <f t="shared" si="4"/>
        <v>626.86624000000006</v>
      </c>
      <c r="H33" s="1">
        <f t="shared" si="5"/>
        <v>4352.6537600000001</v>
      </c>
    </row>
    <row r="34" spans="1:8" hidden="1" x14ac:dyDescent="0.3">
      <c r="A34" s="2" t="s">
        <v>8</v>
      </c>
      <c r="B34" s="2" t="s">
        <v>10</v>
      </c>
      <c r="C34" s="2" t="s">
        <v>9</v>
      </c>
      <c r="D34" s="5">
        <v>46023</v>
      </c>
      <c r="E34" s="1">
        <v>5532.8</v>
      </c>
      <c r="F34" s="1">
        <f t="shared" si="3"/>
        <v>553.28000000000009</v>
      </c>
      <c r="G34" s="1">
        <f t="shared" si="4"/>
        <v>626.86624000000006</v>
      </c>
      <c r="H34" s="1">
        <f t="shared" si="5"/>
        <v>4352.6537600000001</v>
      </c>
    </row>
    <row r="35" spans="1:8" hidden="1" x14ac:dyDescent="0.3">
      <c r="A35" s="2" t="s">
        <v>8</v>
      </c>
      <c r="B35" s="2" t="s">
        <v>7</v>
      </c>
      <c r="C35" s="2" t="s">
        <v>6</v>
      </c>
      <c r="D35" s="5">
        <v>46023</v>
      </c>
      <c r="E35" s="1">
        <v>3222.03</v>
      </c>
      <c r="F35" s="1">
        <f t="shared" si="3"/>
        <v>322.20300000000003</v>
      </c>
      <c r="G35" s="1">
        <f t="shared" si="4"/>
        <v>365.05599900000004</v>
      </c>
      <c r="H35" s="1">
        <f t="shared" si="5"/>
        <v>2534.7710010000001</v>
      </c>
    </row>
    <row r="36" spans="1:8" hidden="1" x14ac:dyDescent="0.3">
      <c r="A36" s="2" t="s">
        <v>2</v>
      </c>
      <c r="B36" s="2" t="s">
        <v>1</v>
      </c>
      <c r="C36" s="2" t="s">
        <v>5</v>
      </c>
      <c r="D36" s="5">
        <v>46023</v>
      </c>
      <c r="E36" s="1">
        <v>3041.28</v>
      </c>
      <c r="F36" s="1">
        <f t="shared" si="3"/>
        <v>304.12800000000004</v>
      </c>
      <c r="G36" s="1">
        <f t="shared" si="4"/>
        <v>344.57702399999999</v>
      </c>
      <c r="H36" s="1">
        <f t="shared" si="5"/>
        <v>2392.5749759999999</v>
      </c>
    </row>
    <row r="37" spans="1:8" hidden="1" x14ac:dyDescent="0.3">
      <c r="A37" s="2" t="s">
        <v>2</v>
      </c>
      <c r="B37" s="2" t="s">
        <v>1</v>
      </c>
      <c r="C37" s="2" t="s">
        <v>4</v>
      </c>
      <c r="D37" s="5">
        <v>46023</v>
      </c>
      <c r="E37" s="1">
        <v>9234.56</v>
      </c>
      <c r="F37" s="1">
        <f t="shared" si="3"/>
        <v>923.45600000000002</v>
      </c>
      <c r="G37" s="1">
        <f t="shared" si="4"/>
        <v>1046.2756479999998</v>
      </c>
      <c r="H37" s="1">
        <f t="shared" si="5"/>
        <v>7264.8283519999995</v>
      </c>
    </row>
    <row r="38" spans="1:8" hidden="1" x14ac:dyDescent="0.3">
      <c r="A38" s="2" t="s">
        <v>2</v>
      </c>
      <c r="B38" s="2" t="s">
        <v>1</v>
      </c>
      <c r="C38" s="2" t="s">
        <v>3</v>
      </c>
      <c r="D38" s="5">
        <v>46023</v>
      </c>
      <c r="E38" s="1">
        <v>8320.0300000000007</v>
      </c>
      <c r="F38" s="1">
        <f t="shared" si="3"/>
        <v>832.00300000000016</v>
      </c>
      <c r="G38" s="1">
        <f t="shared" si="4"/>
        <v>942.65939900000001</v>
      </c>
      <c r="H38" s="1">
        <f t="shared" si="5"/>
        <v>6545.3676009999999</v>
      </c>
    </row>
    <row r="39" spans="1:8" hidden="1" x14ac:dyDescent="0.3">
      <c r="A39" s="2" t="s">
        <v>2</v>
      </c>
      <c r="B39" s="2" t="s">
        <v>1</v>
      </c>
      <c r="C39" s="2" t="s">
        <v>0</v>
      </c>
      <c r="D39" s="5">
        <v>46023</v>
      </c>
      <c r="E39" s="1">
        <v>5274.08</v>
      </c>
      <c r="F39" s="1">
        <f t="shared" si="3"/>
        <v>527.40800000000002</v>
      </c>
      <c r="G39" s="1">
        <f t="shared" si="4"/>
        <v>597.55326400000001</v>
      </c>
      <c r="H39" s="1">
        <f t="shared" si="5"/>
        <v>4149.1187359999994</v>
      </c>
    </row>
    <row r="40" spans="1:8" hidden="1" x14ac:dyDescent="0.3">
      <c r="A40" s="2" t="s">
        <v>8</v>
      </c>
      <c r="B40" s="2" t="s">
        <v>27</v>
      </c>
      <c r="C40" s="2" t="s">
        <v>26</v>
      </c>
      <c r="D40" s="5">
        <v>46054</v>
      </c>
      <c r="E40" s="1">
        <v>626.6</v>
      </c>
      <c r="F40" s="1">
        <f t="shared" si="3"/>
        <v>62.660000000000004</v>
      </c>
      <c r="G40" s="1">
        <f t="shared" si="4"/>
        <v>70.993780000000001</v>
      </c>
      <c r="H40" s="1">
        <f t="shared" si="5"/>
        <v>492.94622000000004</v>
      </c>
    </row>
    <row r="41" spans="1:8" hidden="1" x14ac:dyDescent="0.3">
      <c r="A41" s="2" t="s">
        <v>8</v>
      </c>
      <c r="B41" s="2" t="s">
        <v>25</v>
      </c>
      <c r="C41" s="2" t="s">
        <v>24</v>
      </c>
      <c r="D41" s="5">
        <v>46054</v>
      </c>
      <c r="E41" s="1">
        <v>4315.5200000000004</v>
      </c>
      <c r="F41" s="1">
        <f t="shared" si="3"/>
        <v>431.55200000000008</v>
      </c>
      <c r="G41" s="1">
        <f t="shared" si="4"/>
        <v>488.94841600000007</v>
      </c>
      <c r="H41" s="1">
        <f t="shared" si="5"/>
        <v>3395.0195840000001</v>
      </c>
    </row>
    <row r="42" spans="1:8" hidden="1" x14ac:dyDescent="0.3">
      <c r="A42" s="2" t="s">
        <v>8</v>
      </c>
      <c r="B42" s="2" t="s">
        <v>21</v>
      </c>
      <c r="C42" s="2" t="s">
        <v>23</v>
      </c>
      <c r="D42" s="5">
        <v>46054</v>
      </c>
      <c r="E42" s="1">
        <v>174.72</v>
      </c>
      <c r="F42" s="1">
        <f t="shared" si="3"/>
        <v>17.472000000000001</v>
      </c>
      <c r="G42" s="1">
        <f t="shared" si="4"/>
        <v>19.795776</v>
      </c>
      <c r="H42" s="1">
        <f t="shared" si="5"/>
        <v>137.452224</v>
      </c>
    </row>
    <row r="43" spans="1:8" hidden="1" x14ac:dyDescent="0.3">
      <c r="A43" s="2" t="s">
        <v>8</v>
      </c>
      <c r="B43" s="2" t="s">
        <v>21</v>
      </c>
      <c r="C43" s="2" t="s">
        <v>22</v>
      </c>
      <c r="D43" s="5">
        <v>46054</v>
      </c>
      <c r="E43" s="1">
        <v>5454.08</v>
      </c>
      <c r="F43" s="1">
        <f t="shared" si="3"/>
        <v>545.40800000000002</v>
      </c>
      <c r="G43" s="1">
        <f t="shared" si="4"/>
        <v>617.94726400000002</v>
      </c>
      <c r="H43" s="1">
        <f t="shared" si="5"/>
        <v>4290.7247359999992</v>
      </c>
    </row>
    <row r="44" spans="1:8" hidden="1" x14ac:dyDescent="0.3">
      <c r="A44" s="2" t="s">
        <v>8</v>
      </c>
      <c r="B44" s="2" t="s">
        <v>21</v>
      </c>
      <c r="C44" s="2" t="s">
        <v>20</v>
      </c>
      <c r="D44" s="5">
        <v>46054</v>
      </c>
      <c r="E44" s="1">
        <v>184.32</v>
      </c>
      <c r="F44" s="1">
        <f t="shared" si="3"/>
        <v>18.431999999999999</v>
      </c>
      <c r="G44" s="1">
        <f t="shared" si="4"/>
        <v>20.883455999999999</v>
      </c>
      <c r="H44" s="1">
        <f t="shared" si="5"/>
        <v>145.00454400000001</v>
      </c>
    </row>
    <row r="45" spans="1:8" hidden="1" x14ac:dyDescent="0.3">
      <c r="A45" s="2" t="s">
        <v>8</v>
      </c>
      <c r="B45" s="2" t="s">
        <v>16</v>
      </c>
      <c r="C45" s="2" t="s">
        <v>6</v>
      </c>
      <c r="D45" s="5">
        <v>46054</v>
      </c>
      <c r="E45" s="1">
        <v>127.64</v>
      </c>
      <c r="F45" s="1">
        <f t="shared" si="3"/>
        <v>12.764000000000001</v>
      </c>
      <c r="G45" s="1">
        <f t="shared" si="4"/>
        <v>14.461612000000001</v>
      </c>
      <c r="H45" s="1">
        <f t="shared" si="5"/>
        <v>100.414388</v>
      </c>
    </row>
    <row r="46" spans="1:8" hidden="1" x14ac:dyDescent="0.3">
      <c r="A46" s="2" t="s">
        <v>8</v>
      </c>
      <c r="B46" s="2" t="s">
        <v>16</v>
      </c>
      <c r="C46" s="2" t="s">
        <v>19</v>
      </c>
      <c r="D46" s="5">
        <v>46054</v>
      </c>
      <c r="E46" s="1">
        <v>2487.5500000000002</v>
      </c>
      <c r="F46" s="1">
        <f t="shared" si="3"/>
        <v>248.75500000000002</v>
      </c>
      <c r="G46" s="1">
        <f t="shared" si="4"/>
        <v>281.83941500000003</v>
      </c>
      <c r="H46" s="1">
        <f t="shared" si="5"/>
        <v>1956.9555850000002</v>
      </c>
    </row>
    <row r="47" spans="1:8" hidden="1" x14ac:dyDescent="0.3">
      <c r="A47" s="2" t="s">
        <v>8</v>
      </c>
      <c r="B47" s="2" t="s">
        <v>16</v>
      </c>
      <c r="C47" s="2" t="s">
        <v>18</v>
      </c>
      <c r="D47" s="5">
        <v>46054</v>
      </c>
      <c r="E47" s="1">
        <v>361.4</v>
      </c>
      <c r="F47" s="1">
        <f t="shared" si="3"/>
        <v>36.14</v>
      </c>
      <c r="G47" s="1">
        <f t="shared" si="4"/>
        <v>40.946619999999996</v>
      </c>
      <c r="H47" s="1">
        <f t="shared" si="5"/>
        <v>284.31338</v>
      </c>
    </row>
    <row r="48" spans="1:8" hidden="1" x14ac:dyDescent="0.3">
      <c r="A48" s="2" t="s">
        <v>8</v>
      </c>
      <c r="B48" s="2" t="s">
        <v>16</v>
      </c>
      <c r="C48" s="2" t="s">
        <v>17</v>
      </c>
      <c r="D48" s="5">
        <v>46054</v>
      </c>
      <c r="E48" s="1">
        <v>192.64</v>
      </c>
      <c r="F48" s="1">
        <f t="shared" si="3"/>
        <v>19.263999999999999</v>
      </c>
      <c r="G48" s="1">
        <f t="shared" si="4"/>
        <v>21.826111999999998</v>
      </c>
      <c r="H48" s="1">
        <f t="shared" si="5"/>
        <v>151.54988799999998</v>
      </c>
    </row>
    <row r="49" spans="1:8" hidden="1" x14ac:dyDescent="0.3">
      <c r="A49" s="2" t="s">
        <v>8</v>
      </c>
      <c r="B49" s="2" t="s">
        <v>16</v>
      </c>
      <c r="C49" s="2" t="s">
        <v>15</v>
      </c>
      <c r="D49" s="5">
        <v>46054</v>
      </c>
      <c r="E49" s="1">
        <v>1267.5</v>
      </c>
      <c r="F49" s="1">
        <f t="shared" si="3"/>
        <v>126.75</v>
      </c>
      <c r="G49" s="1">
        <f t="shared" si="4"/>
        <v>143.60775000000001</v>
      </c>
      <c r="H49" s="1">
        <f t="shared" si="5"/>
        <v>997.14224999999999</v>
      </c>
    </row>
    <row r="50" spans="1:8" hidden="1" x14ac:dyDescent="0.3">
      <c r="A50" s="2" t="s">
        <v>8</v>
      </c>
      <c r="B50" s="2" t="s">
        <v>14</v>
      </c>
      <c r="C50" s="2" t="s">
        <v>12</v>
      </c>
      <c r="D50" s="5">
        <v>46054</v>
      </c>
      <c r="E50" s="1">
        <v>0</v>
      </c>
      <c r="F50" s="1">
        <f t="shared" si="3"/>
        <v>0</v>
      </c>
      <c r="G50" s="1">
        <f t="shared" si="4"/>
        <v>0</v>
      </c>
      <c r="H50" s="1">
        <f t="shared" si="5"/>
        <v>0</v>
      </c>
    </row>
    <row r="51" spans="1:8" hidden="1" x14ac:dyDescent="0.3">
      <c r="A51" s="2" t="s">
        <v>8</v>
      </c>
      <c r="B51" s="2" t="s">
        <v>13</v>
      </c>
      <c r="C51" s="2" t="s">
        <v>12</v>
      </c>
      <c r="D51" s="5">
        <v>46054</v>
      </c>
      <c r="E51" s="1">
        <v>0</v>
      </c>
      <c r="F51" s="1">
        <f t="shared" si="3"/>
        <v>0</v>
      </c>
      <c r="G51" s="1">
        <f t="shared" si="4"/>
        <v>0</v>
      </c>
      <c r="H51" s="1">
        <f t="shared" si="5"/>
        <v>0</v>
      </c>
    </row>
    <row r="52" spans="1:8" hidden="1" x14ac:dyDescent="0.3">
      <c r="A52" s="2" t="s">
        <v>8</v>
      </c>
      <c r="B52" s="2" t="s">
        <v>11</v>
      </c>
      <c r="C52" s="2" t="s">
        <v>9</v>
      </c>
      <c r="D52" s="5">
        <v>46054</v>
      </c>
      <c r="E52" s="1">
        <v>755.52</v>
      </c>
      <c r="F52" s="1">
        <f t="shared" si="3"/>
        <v>75.552000000000007</v>
      </c>
      <c r="G52" s="1">
        <f t="shared" si="4"/>
        <v>85.600415999999996</v>
      </c>
      <c r="H52" s="1">
        <f t="shared" si="5"/>
        <v>594.36758399999997</v>
      </c>
    </row>
    <row r="53" spans="1:8" hidden="1" x14ac:dyDescent="0.3">
      <c r="A53" s="2" t="s">
        <v>8</v>
      </c>
      <c r="B53" s="2" t="s">
        <v>10</v>
      </c>
      <c r="C53" s="2" t="s">
        <v>9</v>
      </c>
      <c r="D53" s="5">
        <v>46054</v>
      </c>
      <c r="E53" s="1">
        <v>755.52</v>
      </c>
      <c r="F53" s="1">
        <f t="shared" si="3"/>
        <v>75.552000000000007</v>
      </c>
      <c r="G53" s="1">
        <f t="shared" si="4"/>
        <v>85.600415999999996</v>
      </c>
      <c r="H53" s="1">
        <f t="shared" si="5"/>
        <v>594.36758399999997</v>
      </c>
    </row>
    <row r="54" spans="1:8" hidden="1" x14ac:dyDescent="0.3">
      <c r="A54" s="2" t="s">
        <v>8</v>
      </c>
      <c r="B54" s="2" t="s">
        <v>7</v>
      </c>
      <c r="C54" s="2" t="s">
        <v>6</v>
      </c>
      <c r="D54" s="5">
        <v>46054</v>
      </c>
      <c r="E54" s="1">
        <v>3357.01</v>
      </c>
      <c r="F54" s="1">
        <f t="shared" si="3"/>
        <v>335.70100000000002</v>
      </c>
      <c r="G54" s="1">
        <f t="shared" si="4"/>
        <v>380.34923300000003</v>
      </c>
      <c r="H54" s="1">
        <f t="shared" si="5"/>
        <v>2640.9597670000003</v>
      </c>
    </row>
    <row r="55" spans="1:8" hidden="1" x14ac:dyDescent="0.3">
      <c r="A55" s="2" t="s">
        <v>2</v>
      </c>
      <c r="B55" s="2" t="s">
        <v>1</v>
      </c>
      <c r="C55" s="2" t="s">
        <v>5</v>
      </c>
      <c r="D55" s="5">
        <v>46054</v>
      </c>
      <c r="E55" s="1">
        <v>3063.06</v>
      </c>
      <c r="F55" s="1">
        <f t="shared" si="3"/>
        <v>306.30599999999998</v>
      </c>
      <c r="G55" s="1">
        <f t="shared" si="4"/>
        <v>347.04469799999998</v>
      </c>
      <c r="H55" s="1">
        <f t="shared" si="5"/>
        <v>2409.7093019999998</v>
      </c>
    </row>
    <row r="56" spans="1:8" hidden="1" x14ac:dyDescent="0.3">
      <c r="A56" s="2" t="s">
        <v>2</v>
      </c>
      <c r="B56" s="2" t="s">
        <v>1</v>
      </c>
      <c r="C56" s="2" t="s">
        <v>4</v>
      </c>
      <c r="D56" s="5">
        <v>46054</v>
      </c>
      <c r="E56" s="1">
        <v>8755.2000000000007</v>
      </c>
      <c r="F56" s="1">
        <f t="shared" si="3"/>
        <v>875.5200000000001</v>
      </c>
      <c r="G56" s="1">
        <f t="shared" si="4"/>
        <v>991.96416000000011</v>
      </c>
      <c r="H56" s="1">
        <f t="shared" si="5"/>
        <v>6887.7158399999998</v>
      </c>
    </row>
    <row r="57" spans="1:8" hidden="1" x14ac:dyDescent="0.3">
      <c r="A57" s="2" t="s">
        <v>2</v>
      </c>
      <c r="B57" s="2" t="s">
        <v>1</v>
      </c>
      <c r="C57" s="2" t="s">
        <v>3</v>
      </c>
      <c r="D57" s="5">
        <v>46054</v>
      </c>
      <c r="E57" s="1">
        <v>7560.67</v>
      </c>
      <c r="F57" s="1">
        <f t="shared" si="3"/>
        <v>756.06700000000001</v>
      </c>
      <c r="G57" s="1">
        <f t="shared" si="4"/>
        <v>856.62391100000002</v>
      </c>
      <c r="H57" s="1">
        <f t="shared" si="5"/>
        <v>5947.9790890000004</v>
      </c>
    </row>
    <row r="58" spans="1:8" hidden="1" x14ac:dyDescent="0.3">
      <c r="A58" s="2" t="s">
        <v>2</v>
      </c>
      <c r="B58" s="2" t="s">
        <v>1</v>
      </c>
      <c r="C58" s="2" t="s">
        <v>0</v>
      </c>
      <c r="D58" s="5">
        <v>46054</v>
      </c>
      <c r="E58" s="1">
        <v>5180.92</v>
      </c>
      <c r="F58" s="1">
        <f t="shared" si="3"/>
        <v>518.09199999999998</v>
      </c>
      <c r="G58" s="1">
        <f t="shared" si="4"/>
        <v>586.99823600000002</v>
      </c>
      <c r="H58" s="1">
        <f t="shared" si="5"/>
        <v>4075.8297640000005</v>
      </c>
    </row>
    <row r="59" spans="1:8" hidden="1" x14ac:dyDescent="0.3">
      <c r="A59" s="2" t="s">
        <v>38</v>
      </c>
      <c r="B59" s="2" t="s">
        <v>27</v>
      </c>
      <c r="C59" s="2" t="s">
        <v>26</v>
      </c>
      <c r="D59" s="5">
        <v>46082</v>
      </c>
      <c r="E59" s="1">
        <v>676.65</v>
      </c>
      <c r="F59" s="1">
        <f t="shared" si="3"/>
        <v>67.665000000000006</v>
      </c>
      <c r="G59" s="1">
        <f t="shared" si="4"/>
        <v>76.664445000000001</v>
      </c>
      <c r="H59" s="1">
        <f t="shared" si="5"/>
        <v>532.32055500000001</v>
      </c>
    </row>
    <row r="60" spans="1:8" hidden="1" x14ac:dyDescent="0.3">
      <c r="A60" s="2" t="s">
        <v>38</v>
      </c>
      <c r="B60" s="2" t="s">
        <v>25</v>
      </c>
      <c r="C60" s="2" t="s">
        <v>24</v>
      </c>
      <c r="D60" s="5">
        <v>46082</v>
      </c>
      <c r="E60" s="1">
        <v>0</v>
      </c>
      <c r="F60" s="1">
        <f t="shared" si="3"/>
        <v>0</v>
      </c>
      <c r="G60" s="1">
        <f t="shared" si="4"/>
        <v>0</v>
      </c>
      <c r="H60" s="1">
        <f t="shared" si="5"/>
        <v>0</v>
      </c>
    </row>
    <row r="61" spans="1:8" hidden="1" x14ac:dyDescent="0.3">
      <c r="A61" s="2" t="s">
        <v>38</v>
      </c>
      <c r="B61" s="2" t="s">
        <v>21</v>
      </c>
      <c r="C61" s="2" t="s">
        <v>23</v>
      </c>
      <c r="D61" s="5">
        <v>46082</v>
      </c>
      <c r="E61" s="1">
        <v>185.6</v>
      </c>
      <c r="F61" s="1">
        <f t="shared" si="3"/>
        <v>18.559999999999999</v>
      </c>
      <c r="G61" s="1">
        <f t="shared" si="4"/>
        <v>21.028479999999998</v>
      </c>
      <c r="H61" s="1">
        <f t="shared" si="5"/>
        <v>146.01151999999999</v>
      </c>
    </row>
    <row r="62" spans="1:8" hidden="1" x14ac:dyDescent="0.3">
      <c r="A62" s="2" t="s">
        <v>38</v>
      </c>
      <c r="B62" s="2" t="s">
        <v>21</v>
      </c>
      <c r="C62" s="2" t="s">
        <v>22</v>
      </c>
      <c r="D62" s="5">
        <v>46082</v>
      </c>
      <c r="E62" s="1">
        <v>5142.3999999999996</v>
      </c>
      <c r="F62" s="1">
        <f t="shared" si="3"/>
        <v>514.24</v>
      </c>
      <c r="G62" s="1">
        <f t="shared" si="4"/>
        <v>582.63391999999999</v>
      </c>
      <c r="H62" s="1">
        <f t="shared" si="5"/>
        <v>4045.5260799999996</v>
      </c>
    </row>
    <row r="63" spans="1:8" hidden="1" x14ac:dyDescent="0.3">
      <c r="A63" s="2" t="s">
        <v>38</v>
      </c>
      <c r="B63" s="2" t="s">
        <v>21</v>
      </c>
      <c r="C63" s="2" t="s">
        <v>20</v>
      </c>
      <c r="D63" s="5">
        <v>46082</v>
      </c>
      <c r="E63" s="1">
        <v>187.52</v>
      </c>
      <c r="F63" s="1">
        <f t="shared" si="3"/>
        <v>18.752000000000002</v>
      </c>
      <c r="G63" s="1">
        <f t="shared" si="4"/>
        <v>21.246016000000001</v>
      </c>
      <c r="H63" s="1">
        <f t="shared" si="5"/>
        <v>147.521984</v>
      </c>
    </row>
    <row r="64" spans="1:8" hidden="1" x14ac:dyDescent="0.3">
      <c r="A64" s="2" t="s">
        <v>38</v>
      </c>
      <c r="B64" s="2" t="s">
        <v>16</v>
      </c>
      <c r="C64" s="2" t="s">
        <v>6</v>
      </c>
      <c r="D64" s="5">
        <v>46082</v>
      </c>
      <c r="E64" s="1">
        <v>209.63</v>
      </c>
      <c r="F64" s="1">
        <f t="shared" si="3"/>
        <v>20.963000000000001</v>
      </c>
      <c r="G64" s="1">
        <f t="shared" si="4"/>
        <v>23.751079000000001</v>
      </c>
      <c r="H64" s="1">
        <f t="shared" si="5"/>
        <v>164.915921</v>
      </c>
    </row>
    <row r="65" spans="1:8" hidden="1" x14ac:dyDescent="0.3">
      <c r="A65" s="2" t="s">
        <v>38</v>
      </c>
      <c r="B65" s="2" t="s">
        <v>16</v>
      </c>
      <c r="C65" s="2" t="s">
        <v>19</v>
      </c>
      <c r="D65" s="5">
        <v>46082</v>
      </c>
      <c r="E65" s="1">
        <v>2172.9499999999998</v>
      </c>
      <c r="F65" s="1">
        <f t="shared" si="3"/>
        <v>217.29499999999999</v>
      </c>
      <c r="G65" s="1">
        <f t="shared" si="4"/>
        <v>246.19523499999997</v>
      </c>
      <c r="H65" s="1">
        <f t="shared" si="5"/>
        <v>1709.4597649999998</v>
      </c>
    </row>
    <row r="66" spans="1:8" hidden="1" x14ac:dyDescent="0.3">
      <c r="A66" s="2" t="s">
        <v>38</v>
      </c>
      <c r="B66" s="2" t="s">
        <v>16</v>
      </c>
      <c r="C66" s="2" t="s">
        <v>18</v>
      </c>
      <c r="D66" s="5">
        <v>46082</v>
      </c>
      <c r="E66" s="1">
        <v>325</v>
      </c>
      <c r="F66" s="1">
        <f t="shared" si="3"/>
        <v>32.5</v>
      </c>
      <c r="G66" s="1">
        <f t="shared" si="4"/>
        <v>36.822499999999998</v>
      </c>
      <c r="H66" s="1">
        <f t="shared" si="5"/>
        <v>255.67750000000001</v>
      </c>
    </row>
    <row r="67" spans="1:8" hidden="1" x14ac:dyDescent="0.3">
      <c r="A67" s="2" t="s">
        <v>38</v>
      </c>
      <c r="B67" s="2" t="s">
        <v>16</v>
      </c>
      <c r="C67" s="2" t="s">
        <v>17</v>
      </c>
      <c r="D67" s="5">
        <v>46082</v>
      </c>
      <c r="E67" s="1">
        <v>151.68</v>
      </c>
      <c r="F67" s="1">
        <f t="shared" si="3"/>
        <v>15.168000000000001</v>
      </c>
      <c r="G67" s="1">
        <f t="shared" si="4"/>
        <v>17.185344000000001</v>
      </c>
      <c r="H67" s="1">
        <f t="shared" si="5"/>
        <v>119.326656</v>
      </c>
    </row>
    <row r="68" spans="1:8" hidden="1" x14ac:dyDescent="0.3">
      <c r="A68" s="2" t="s">
        <v>38</v>
      </c>
      <c r="B68" s="2" t="s">
        <v>16</v>
      </c>
      <c r="C68" s="2" t="s">
        <v>15</v>
      </c>
      <c r="D68" s="5">
        <v>46082</v>
      </c>
      <c r="E68" s="1">
        <v>1510.91</v>
      </c>
      <c r="F68" s="1">
        <f t="shared" si="3"/>
        <v>151.09100000000001</v>
      </c>
      <c r="G68" s="1">
        <f t="shared" si="4"/>
        <v>171.186103</v>
      </c>
      <c r="H68" s="1">
        <f t="shared" si="5"/>
        <v>1188.632897</v>
      </c>
    </row>
    <row r="69" spans="1:8" hidden="1" x14ac:dyDescent="0.3">
      <c r="A69" s="2" t="s">
        <v>38</v>
      </c>
      <c r="B69" s="2" t="s">
        <v>14</v>
      </c>
      <c r="C69" s="2" t="s">
        <v>12</v>
      </c>
      <c r="D69" s="5">
        <v>46082</v>
      </c>
      <c r="E69" s="1">
        <v>0</v>
      </c>
      <c r="F69" s="1">
        <f t="shared" si="3"/>
        <v>0</v>
      </c>
      <c r="G69" s="1">
        <f t="shared" si="4"/>
        <v>0</v>
      </c>
      <c r="H69" s="1">
        <f t="shared" si="5"/>
        <v>0</v>
      </c>
    </row>
    <row r="70" spans="1:8" hidden="1" x14ac:dyDescent="0.3">
      <c r="A70" s="2" t="s">
        <v>38</v>
      </c>
      <c r="B70" s="2" t="s">
        <v>13</v>
      </c>
      <c r="C70" s="2" t="s">
        <v>12</v>
      </c>
      <c r="D70" s="5">
        <v>46082</v>
      </c>
      <c r="E70" s="1">
        <v>0</v>
      </c>
      <c r="F70" s="1">
        <f t="shared" si="3"/>
        <v>0</v>
      </c>
      <c r="G70" s="1">
        <f t="shared" si="4"/>
        <v>0</v>
      </c>
      <c r="H70" s="1">
        <f t="shared" si="5"/>
        <v>0</v>
      </c>
    </row>
    <row r="71" spans="1:8" hidden="1" x14ac:dyDescent="0.3">
      <c r="A71" s="2" t="s">
        <v>38</v>
      </c>
      <c r="B71" s="2" t="s">
        <v>11</v>
      </c>
      <c r="C71" s="2" t="s">
        <v>9</v>
      </c>
      <c r="D71" s="5">
        <v>46082</v>
      </c>
      <c r="E71" s="1">
        <v>0</v>
      </c>
      <c r="F71" s="1">
        <f t="shared" si="3"/>
        <v>0</v>
      </c>
      <c r="G71" s="1">
        <f t="shared" si="4"/>
        <v>0</v>
      </c>
      <c r="H71" s="1">
        <f t="shared" si="5"/>
        <v>0</v>
      </c>
    </row>
    <row r="72" spans="1:8" hidden="1" x14ac:dyDescent="0.3">
      <c r="A72" s="2" t="s">
        <v>38</v>
      </c>
      <c r="B72" s="2" t="s">
        <v>10</v>
      </c>
      <c r="C72" s="2" t="s">
        <v>9</v>
      </c>
      <c r="D72" s="5">
        <v>46082</v>
      </c>
      <c r="E72" s="1">
        <v>11971.84</v>
      </c>
      <c r="F72" s="1">
        <f t="shared" si="3"/>
        <v>1197.184</v>
      </c>
      <c r="G72" s="1">
        <f t="shared" si="4"/>
        <v>1356.4094720000001</v>
      </c>
      <c r="H72" s="1">
        <f t="shared" si="5"/>
        <v>9418.2465280000015</v>
      </c>
    </row>
    <row r="73" spans="1:8" hidden="1" x14ac:dyDescent="0.3">
      <c r="A73" s="2" t="s">
        <v>38</v>
      </c>
      <c r="B73" s="2" t="s">
        <v>7</v>
      </c>
      <c r="C73" s="2" t="s">
        <v>36</v>
      </c>
      <c r="D73" s="5">
        <v>46082</v>
      </c>
      <c r="E73" s="1">
        <v>1503.12</v>
      </c>
      <c r="F73" s="1">
        <f t="shared" si="3"/>
        <v>150.31199999999998</v>
      </c>
      <c r="G73" s="1">
        <f t="shared" si="4"/>
        <v>170.303496</v>
      </c>
      <c r="H73" s="1">
        <f t="shared" si="5"/>
        <v>1182.504504</v>
      </c>
    </row>
    <row r="74" spans="1:8" hidden="1" x14ac:dyDescent="0.3">
      <c r="A74" s="2" t="s">
        <v>38</v>
      </c>
      <c r="B74" s="2" t="s">
        <v>7</v>
      </c>
      <c r="C74" s="2" t="s">
        <v>19</v>
      </c>
      <c r="D74" s="5">
        <v>46082</v>
      </c>
      <c r="E74" s="1">
        <v>0</v>
      </c>
      <c r="F74" s="1">
        <f t="shared" si="3"/>
        <v>0</v>
      </c>
      <c r="G74" s="1">
        <f t="shared" si="4"/>
        <v>0</v>
      </c>
      <c r="H74" s="1">
        <f t="shared" si="5"/>
        <v>0</v>
      </c>
    </row>
    <row r="75" spans="1:8" hidden="1" x14ac:dyDescent="0.3">
      <c r="A75" s="2" t="s">
        <v>38</v>
      </c>
      <c r="B75" s="2" t="s">
        <v>7</v>
      </c>
      <c r="C75" s="2" t="s">
        <v>17</v>
      </c>
      <c r="D75" s="5">
        <v>46082</v>
      </c>
      <c r="E75" s="1">
        <v>550.89</v>
      </c>
      <c r="F75" s="1">
        <f t="shared" si="3"/>
        <v>55.088999999999999</v>
      </c>
      <c r="G75" s="1">
        <f t="shared" si="4"/>
        <v>62.415836999999996</v>
      </c>
      <c r="H75" s="1">
        <f t="shared" si="5"/>
        <v>433.38516299999998</v>
      </c>
    </row>
    <row r="76" spans="1:8" hidden="1" x14ac:dyDescent="0.3">
      <c r="A76" s="2" t="s">
        <v>38</v>
      </c>
      <c r="B76" s="2" t="s">
        <v>7</v>
      </c>
      <c r="C76" s="2" t="s">
        <v>37</v>
      </c>
      <c r="D76" s="5">
        <v>46082</v>
      </c>
      <c r="E76" s="1">
        <v>14073.16</v>
      </c>
      <c r="F76" s="1">
        <f t="shared" si="3"/>
        <v>1407.316</v>
      </c>
      <c r="G76" s="1">
        <f t="shared" si="4"/>
        <v>1594.489028</v>
      </c>
      <c r="H76" s="1">
        <f t="shared" si="5"/>
        <v>11071.354971999999</v>
      </c>
    </row>
    <row r="77" spans="1:8" hidden="1" x14ac:dyDescent="0.3">
      <c r="A77" s="2" t="s">
        <v>2</v>
      </c>
      <c r="B77" s="2" t="s">
        <v>1</v>
      </c>
      <c r="C77" s="2" t="s">
        <v>5</v>
      </c>
      <c r="D77" s="5">
        <v>46082</v>
      </c>
      <c r="E77" s="1">
        <v>2874.96</v>
      </c>
      <c r="F77" s="1">
        <f t="shared" si="3"/>
        <v>287.49600000000004</v>
      </c>
      <c r="G77" s="1">
        <f t="shared" si="4"/>
        <v>325.73296799999997</v>
      </c>
      <c r="H77" s="1">
        <f t="shared" si="5"/>
        <v>2261.7310320000001</v>
      </c>
    </row>
    <row r="78" spans="1:8" hidden="1" x14ac:dyDescent="0.3">
      <c r="A78" s="2" t="s">
        <v>2</v>
      </c>
      <c r="B78" s="2" t="s">
        <v>1</v>
      </c>
      <c r="C78" s="2" t="s">
        <v>4</v>
      </c>
      <c r="D78" s="5">
        <v>46082</v>
      </c>
      <c r="E78" s="1">
        <v>8915.2000000000007</v>
      </c>
      <c r="F78" s="1">
        <f t="shared" si="3"/>
        <v>891.5200000000001</v>
      </c>
      <c r="G78" s="1">
        <f t="shared" si="4"/>
        <v>1010.09216</v>
      </c>
      <c r="H78" s="1">
        <f t="shared" si="5"/>
        <v>7013.5878400000001</v>
      </c>
    </row>
    <row r="79" spans="1:8" hidden="1" x14ac:dyDescent="0.3">
      <c r="A79" s="2" t="s">
        <v>2</v>
      </c>
      <c r="B79" s="2" t="s">
        <v>1</v>
      </c>
      <c r="C79" s="2" t="s">
        <v>3</v>
      </c>
      <c r="D79" s="5">
        <v>46082</v>
      </c>
      <c r="E79" s="1">
        <v>6004.99</v>
      </c>
      <c r="F79" s="1">
        <f t="shared" si="3"/>
        <v>600.49900000000002</v>
      </c>
      <c r="G79" s="1">
        <f t="shared" si="4"/>
        <v>680.36536699999999</v>
      </c>
      <c r="H79" s="1">
        <f t="shared" si="5"/>
        <v>4724.1256329999997</v>
      </c>
    </row>
    <row r="80" spans="1:8" hidden="1" x14ac:dyDescent="0.3">
      <c r="A80" s="2" t="s">
        <v>2</v>
      </c>
      <c r="B80" s="2" t="s">
        <v>1</v>
      </c>
      <c r="C80" s="2" t="s">
        <v>0</v>
      </c>
      <c r="D80" s="5">
        <v>46082</v>
      </c>
      <c r="E80" s="1">
        <v>5360.44</v>
      </c>
      <c r="F80" s="1">
        <f t="shared" si="3"/>
        <v>536.04399999999998</v>
      </c>
      <c r="G80" s="1">
        <f t="shared" si="4"/>
        <v>607.337852</v>
      </c>
      <c r="H80" s="1">
        <f t="shared" si="5"/>
        <v>4217.0581480000001</v>
      </c>
    </row>
    <row r="81" spans="1:8" hidden="1" x14ac:dyDescent="0.3">
      <c r="A81" s="2" t="s">
        <v>38</v>
      </c>
      <c r="B81" s="2" t="s">
        <v>27</v>
      </c>
      <c r="C81" s="2" t="s">
        <v>26</v>
      </c>
      <c r="D81" s="5">
        <v>46113</v>
      </c>
      <c r="E81" s="1">
        <v>653.25</v>
      </c>
      <c r="F81" s="1">
        <f>E81*0.1</f>
        <v>65.325000000000003</v>
      </c>
      <c r="G81" s="1">
        <f t="shared" si="4"/>
        <v>74.013225000000006</v>
      </c>
      <c r="H81" s="1">
        <f t="shared" si="5"/>
        <v>513.91177499999992</v>
      </c>
    </row>
    <row r="82" spans="1:8" hidden="1" x14ac:dyDescent="0.3">
      <c r="A82" s="2" t="s">
        <v>38</v>
      </c>
      <c r="B82" s="2" t="s">
        <v>25</v>
      </c>
      <c r="C82" s="2" t="s">
        <v>24</v>
      </c>
      <c r="D82" s="5">
        <v>46113</v>
      </c>
      <c r="E82" s="1">
        <v>3565.44</v>
      </c>
      <c r="F82" s="1">
        <f t="shared" si="3"/>
        <v>356.54400000000004</v>
      </c>
      <c r="G82" s="1">
        <f t="shared" si="4"/>
        <v>403.96435200000002</v>
      </c>
      <c r="H82" s="1">
        <f t="shared" si="5"/>
        <v>2804.9316480000002</v>
      </c>
    </row>
    <row r="83" spans="1:8" hidden="1" x14ac:dyDescent="0.3">
      <c r="A83" s="2" t="s">
        <v>38</v>
      </c>
      <c r="B83" s="2" t="s">
        <v>21</v>
      </c>
      <c r="C83" s="2" t="s">
        <v>23</v>
      </c>
      <c r="D83" s="5">
        <v>46113</v>
      </c>
      <c r="E83" s="1">
        <v>161.91999999999999</v>
      </c>
      <c r="F83" s="1">
        <f t="shared" si="3"/>
        <v>16.192</v>
      </c>
      <c r="G83" s="1">
        <f t="shared" si="4"/>
        <v>18.345535999999999</v>
      </c>
      <c r="H83" s="1">
        <f t="shared" si="5"/>
        <v>127.38246399999998</v>
      </c>
    </row>
    <row r="84" spans="1:8" hidden="1" x14ac:dyDescent="0.3">
      <c r="A84" s="2" t="s">
        <v>38</v>
      </c>
      <c r="B84" s="2" t="s">
        <v>21</v>
      </c>
      <c r="C84" s="2" t="s">
        <v>39</v>
      </c>
      <c r="D84" s="5">
        <v>46113</v>
      </c>
      <c r="E84" s="1">
        <v>3092.16</v>
      </c>
      <c r="F84" s="1">
        <f t="shared" si="3"/>
        <v>309.21600000000001</v>
      </c>
      <c r="G84" s="1">
        <f t="shared" si="4"/>
        <v>350.34172799999999</v>
      </c>
      <c r="H84" s="1">
        <f t="shared" si="5"/>
        <v>2432.6022720000001</v>
      </c>
    </row>
    <row r="85" spans="1:8" hidden="1" x14ac:dyDescent="0.3">
      <c r="A85" s="2" t="s">
        <v>38</v>
      </c>
      <c r="B85" s="2" t="s">
        <v>21</v>
      </c>
      <c r="C85" s="2" t="s">
        <v>40</v>
      </c>
      <c r="D85" s="5">
        <v>46113</v>
      </c>
      <c r="E85" s="1">
        <v>3092.16</v>
      </c>
      <c r="F85" s="1">
        <f t="shared" si="3"/>
        <v>309.21600000000001</v>
      </c>
      <c r="G85" s="1">
        <f t="shared" si="4"/>
        <v>350.34172799999999</v>
      </c>
      <c r="H85" s="1">
        <f t="shared" si="5"/>
        <v>2432.6022720000001</v>
      </c>
    </row>
    <row r="86" spans="1:8" hidden="1" x14ac:dyDescent="0.3">
      <c r="A86" s="2" t="s">
        <v>38</v>
      </c>
      <c r="B86" s="2" t="s">
        <v>21</v>
      </c>
      <c r="C86" s="2" t="s">
        <v>20</v>
      </c>
      <c r="D86" s="5">
        <v>46113</v>
      </c>
      <c r="E86" s="1">
        <v>281.60000000000002</v>
      </c>
      <c r="F86" s="1">
        <f t="shared" si="3"/>
        <v>28.160000000000004</v>
      </c>
      <c r="G86" s="1">
        <f t="shared" si="4"/>
        <v>31.905280000000001</v>
      </c>
      <c r="H86" s="1">
        <f t="shared" si="5"/>
        <v>221.53472000000002</v>
      </c>
    </row>
    <row r="87" spans="1:8" hidden="1" x14ac:dyDescent="0.3">
      <c r="A87" s="2" t="s">
        <v>38</v>
      </c>
      <c r="B87" s="2" t="s">
        <v>16</v>
      </c>
      <c r="C87" s="2" t="s">
        <v>6</v>
      </c>
      <c r="D87" s="5">
        <v>46113</v>
      </c>
      <c r="E87" s="1">
        <v>1561.36</v>
      </c>
      <c r="F87" s="1">
        <f t="shared" si="3"/>
        <v>156.136</v>
      </c>
      <c r="G87" s="1">
        <f t="shared" si="4"/>
        <v>176.90208799999999</v>
      </c>
      <c r="H87" s="1">
        <f t="shared" si="5"/>
        <v>1228.3219119999999</v>
      </c>
    </row>
    <row r="88" spans="1:8" hidden="1" x14ac:dyDescent="0.3">
      <c r="A88" s="2" t="s">
        <v>38</v>
      </c>
      <c r="B88" s="2" t="s">
        <v>16</v>
      </c>
      <c r="C88" s="2" t="s">
        <v>19</v>
      </c>
      <c r="D88" s="5">
        <v>46113</v>
      </c>
      <c r="E88" s="1">
        <v>2096.2800000000002</v>
      </c>
      <c r="F88" s="1">
        <f t="shared" si="3"/>
        <v>209.62800000000004</v>
      </c>
      <c r="G88" s="1">
        <f t="shared" si="4"/>
        <v>237.50852400000002</v>
      </c>
      <c r="H88" s="1">
        <f t="shared" si="5"/>
        <v>1649.143476</v>
      </c>
    </row>
    <row r="89" spans="1:8" hidden="1" x14ac:dyDescent="0.3">
      <c r="A89" s="2" t="s">
        <v>38</v>
      </c>
      <c r="B89" s="2" t="s">
        <v>16</v>
      </c>
      <c r="C89" s="2" t="s">
        <v>18</v>
      </c>
      <c r="D89" s="5">
        <v>46113</v>
      </c>
      <c r="E89" s="1">
        <v>0</v>
      </c>
      <c r="F89" s="1">
        <f t="shared" si="3"/>
        <v>0</v>
      </c>
      <c r="G89" s="1">
        <f t="shared" si="4"/>
        <v>0</v>
      </c>
      <c r="H89" s="1">
        <f t="shared" si="5"/>
        <v>0</v>
      </c>
    </row>
    <row r="90" spans="1:8" hidden="1" x14ac:dyDescent="0.3">
      <c r="A90" s="2" t="s">
        <v>38</v>
      </c>
      <c r="B90" s="2" t="s">
        <v>16</v>
      </c>
      <c r="C90" s="2" t="s">
        <v>15</v>
      </c>
      <c r="D90" s="5">
        <v>46113</v>
      </c>
      <c r="E90" s="1">
        <v>133.12</v>
      </c>
      <c r="F90" s="1">
        <f t="shared" si="3"/>
        <v>13.312000000000001</v>
      </c>
      <c r="G90" s="1">
        <f t="shared" si="4"/>
        <v>15.082496000000001</v>
      </c>
      <c r="H90" s="1">
        <f t="shared" si="5"/>
        <v>104.725504</v>
      </c>
    </row>
    <row r="91" spans="1:8" hidden="1" x14ac:dyDescent="0.3">
      <c r="A91" s="2" t="s">
        <v>38</v>
      </c>
      <c r="B91" s="2" t="s">
        <v>16</v>
      </c>
      <c r="C91" s="2" t="s">
        <v>17</v>
      </c>
      <c r="D91" s="5">
        <v>46113</v>
      </c>
      <c r="E91" s="1">
        <v>979.05</v>
      </c>
      <c r="F91" s="1">
        <f t="shared" si="3"/>
        <v>97.905000000000001</v>
      </c>
      <c r="G91" s="1">
        <f t="shared" si="4"/>
        <v>110.92636499999999</v>
      </c>
      <c r="H91" s="1">
        <f t="shared" si="5"/>
        <v>770.21863499999995</v>
      </c>
    </row>
    <row r="92" spans="1:8" hidden="1" x14ac:dyDescent="0.3">
      <c r="A92" s="2" t="s">
        <v>38</v>
      </c>
      <c r="B92" s="2" t="s">
        <v>10</v>
      </c>
      <c r="C92" s="2" t="s">
        <v>9</v>
      </c>
      <c r="D92" s="5">
        <v>46113</v>
      </c>
      <c r="E92" s="1">
        <v>472.92</v>
      </c>
      <c r="F92" s="1">
        <f t="shared" si="3"/>
        <v>47.292000000000002</v>
      </c>
      <c r="G92" s="1">
        <f t="shared" si="4"/>
        <v>53.581836000000003</v>
      </c>
      <c r="H92" s="1">
        <f t="shared" si="5"/>
        <v>372.04616400000003</v>
      </c>
    </row>
    <row r="93" spans="1:8" hidden="1" x14ac:dyDescent="0.3">
      <c r="A93" s="2" t="s">
        <v>38</v>
      </c>
      <c r="B93" s="2" t="s">
        <v>7</v>
      </c>
      <c r="C93" s="2" t="s">
        <v>36</v>
      </c>
      <c r="D93" s="5">
        <v>46113</v>
      </c>
      <c r="E93" s="1">
        <v>3357.01</v>
      </c>
      <c r="F93" s="1">
        <f t="shared" si="3"/>
        <v>335.70100000000002</v>
      </c>
      <c r="G93" s="1">
        <f t="shared" si="4"/>
        <v>380.34923300000003</v>
      </c>
      <c r="H93" s="1">
        <f t="shared" si="5"/>
        <v>2640.9597670000003</v>
      </c>
    </row>
    <row r="94" spans="1:8" hidden="1" x14ac:dyDescent="0.3">
      <c r="A94" s="2" t="s">
        <v>38</v>
      </c>
      <c r="B94" s="2" t="s">
        <v>7</v>
      </c>
      <c r="C94" s="2" t="s">
        <v>19</v>
      </c>
      <c r="D94" s="5">
        <v>46113</v>
      </c>
      <c r="E94" s="1">
        <v>447.82</v>
      </c>
      <c r="F94" s="1">
        <f t="shared" si="3"/>
        <v>44.782000000000004</v>
      </c>
      <c r="G94" s="1">
        <f t="shared" si="4"/>
        <v>50.738005999999999</v>
      </c>
      <c r="H94" s="1">
        <f t="shared" si="5"/>
        <v>352.29999400000003</v>
      </c>
    </row>
    <row r="95" spans="1:8" hidden="1" x14ac:dyDescent="0.3">
      <c r="A95" s="2" t="s">
        <v>38</v>
      </c>
      <c r="B95" s="2" t="s">
        <v>7</v>
      </c>
      <c r="C95" s="2" t="s">
        <v>17</v>
      </c>
      <c r="D95" s="5">
        <v>46113</v>
      </c>
      <c r="E95" s="1">
        <v>377.5</v>
      </c>
      <c r="F95" s="1">
        <f t="shared" si="3"/>
        <v>37.75</v>
      </c>
      <c r="G95" s="1">
        <f t="shared" si="4"/>
        <v>42.77075</v>
      </c>
      <c r="H95" s="1">
        <f t="shared" si="5"/>
        <v>296.97924999999998</v>
      </c>
    </row>
    <row r="96" spans="1:8" hidden="1" x14ac:dyDescent="0.3">
      <c r="A96" s="2" t="s">
        <v>38</v>
      </c>
      <c r="B96" s="2" t="s">
        <v>7</v>
      </c>
      <c r="C96" s="2" t="s">
        <v>37</v>
      </c>
      <c r="D96" s="5">
        <v>46113</v>
      </c>
      <c r="E96" s="1">
        <v>1573</v>
      </c>
      <c r="F96" s="1">
        <f t="shared" si="3"/>
        <v>157.30000000000001</v>
      </c>
      <c r="G96" s="1">
        <f t="shared" si="4"/>
        <v>178.2209</v>
      </c>
      <c r="H96" s="1">
        <f t="shared" si="5"/>
        <v>1237.4791</v>
      </c>
    </row>
    <row r="97" spans="1:8" hidden="1" x14ac:dyDescent="0.3">
      <c r="A97" s="2" t="s">
        <v>2</v>
      </c>
      <c r="B97" s="2" t="s">
        <v>2</v>
      </c>
      <c r="C97" s="2" t="s">
        <v>5</v>
      </c>
      <c r="D97" s="5">
        <v>46113</v>
      </c>
      <c r="E97" s="1">
        <v>3391.74</v>
      </c>
      <c r="F97" s="1">
        <f t="shared" si="3"/>
        <v>339.17399999999998</v>
      </c>
      <c r="G97" s="1">
        <f t="shared" si="4"/>
        <v>384.28414199999997</v>
      </c>
      <c r="H97" s="1">
        <f t="shared" si="5"/>
        <v>2668.2818579999998</v>
      </c>
    </row>
    <row r="98" spans="1:8" hidden="1" x14ac:dyDescent="0.3">
      <c r="A98" s="2" t="s">
        <v>2</v>
      </c>
      <c r="B98" s="2" t="s">
        <v>2</v>
      </c>
      <c r="C98" s="2" t="s">
        <v>4</v>
      </c>
      <c r="D98" s="5">
        <v>46113</v>
      </c>
      <c r="E98" s="1">
        <v>8726.4</v>
      </c>
      <c r="F98" s="1">
        <f t="shared" si="3"/>
        <v>872.64</v>
      </c>
      <c r="G98" s="1">
        <f t="shared" si="4"/>
        <v>988.70111999999995</v>
      </c>
      <c r="H98" s="1">
        <f t="shared" si="5"/>
        <v>6865.0588799999996</v>
      </c>
    </row>
    <row r="99" spans="1:8" hidden="1" x14ac:dyDescent="0.3">
      <c r="A99" s="2" t="s">
        <v>2</v>
      </c>
      <c r="B99" s="2" t="s">
        <v>2</v>
      </c>
      <c r="C99" s="2" t="s">
        <v>3</v>
      </c>
      <c r="D99" s="5">
        <v>46113</v>
      </c>
      <c r="E99" s="1">
        <v>7542.53</v>
      </c>
      <c r="F99" s="1">
        <f t="shared" si="3"/>
        <v>754.25300000000004</v>
      </c>
      <c r="G99" s="1">
        <f t="shared" si="4"/>
        <v>854.56864899999994</v>
      </c>
      <c r="H99" s="1">
        <f t="shared" si="5"/>
        <v>5933.7083510000002</v>
      </c>
    </row>
    <row r="100" spans="1:8" hidden="1" x14ac:dyDescent="0.3">
      <c r="A100" s="2" t="s">
        <v>2</v>
      </c>
      <c r="B100" s="2" t="s">
        <v>2</v>
      </c>
      <c r="C100" s="2" t="s">
        <v>0</v>
      </c>
      <c r="D100" s="5">
        <v>46113</v>
      </c>
      <c r="E100" s="1">
        <v>0</v>
      </c>
      <c r="F100" s="1">
        <f t="shared" si="3"/>
        <v>0</v>
      </c>
      <c r="G100" s="1">
        <f t="shared" si="4"/>
        <v>0</v>
      </c>
      <c r="H100" s="1">
        <f t="shared" si="5"/>
        <v>0</v>
      </c>
    </row>
    <row r="101" spans="1:8" hidden="1" x14ac:dyDescent="0.3">
      <c r="A101" s="2" t="s">
        <v>38</v>
      </c>
      <c r="B101" s="2" t="s">
        <v>27</v>
      </c>
      <c r="C101" s="2" t="s">
        <v>26</v>
      </c>
      <c r="D101" s="5">
        <v>46143</v>
      </c>
      <c r="E101" s="1">
        <v>646.1</v>
      </c>
      <c r="F101" s="1">
        <f t="shared" si="3"/>
        <v>64.61</v>
      </c>
      <c r="G101" s="1">
        <f t="shared" si="4"/>
        <v>73.203130000000002</v>
      </c>
      <c r="H101" s="1">
        <f t="shared" si="5"/>
        <v>508.28687000000002</v>
      </c>
    </row>
    <row r="102" spans="1:8" hidden="1" x14ac:dyDescent="0.3">
      <c r="A102" s="2" t="s">
        <v>38</v>
      </c>
      <c r="B102" s="2" t="s">
        <v>25</v>
      </c>
      <c r="C102" s="2" t="s">
        <v>24</v>
      </c>
      <c r="D102" s="5">
        <v>46143</v>
      </c>
      <c r="E102" s="1">
        <v>3776.64</v>
      </c>
      <c r="F102" s="1">
        <f t="shared" si="3"/>
        <v>377.66399999999999</v>
      </c>
      <c r="G102" s="1">
        <f t="shared" si="4"/>
        <v>427.89331199999998</v>
      </c>
      <c r="H102" s="1">
        <f t="shared" si="5"/>
        <v>2971.0826879999995</v>
      </c>
    </row>
    <row r="103" spans="1:8" hidden="1" x14ac:dyDescent="0.3">
      <c r="A103" s="2" t="s">
        <v>38</v>
      </c>
      <c r="B103" s="2" t="s">
        <v>21</v>
      </c>
      <c r="C103" s="2" t="s">
        <v>41</v>
      </c>
      <c r="D103" s="5">
        <v>46143</v>
      </c>
      <c r="E103" s="1">
        <v>168.96</v>
      </c>
      <c r="F103" s="1">
        <f t="shared" si="3"/>
        <v>16.896000000000001</v>
      </c>
      <c r="G103" s="1">
        <f t="shared" si="4"/>
        <v>19.143167999999999</v>
      </c>
      <c r="H103" s="1">
        <f t="shared" si="5"/>
        <v>132.92083200000002</v>
      </c>
    </row>
    <row r="104" spans="1:8" hidden="1" x14ac:dyDescent="0.3">
      <c r="A104" s="2" t="s">
        <v>38</v>
      </c>
      <c r="B104" s="2" t="s">
        <v>21</v>
      </c>
      <c r="C104" s="2" t="s">
        <v>40</v>
      </c>
      <c r="D104" s="5">
        <v>46143</v>
      </c>
      <c r="E104" s="1">
        <v>5104.6400000000003</v>
      </c>
      <c r="F104" s="1">
        <f t="shared" si="3"/>
        <v>510.46400000000006</v>
      </c>
      <c r="G104" s="1">
        <f t="shared" si="4"/>
        <v>578.35571200000004</v>
      </c>
      <c r="H104" s="1">
        <f t="shared" si="5"/>
        <v>4015.8202880000003</v>
      </c>
    </row>
    <row r="105" spans="1:8" hidden="1" x14ac:dyDescent="0.3">
      <c r="A105" s="2" t="s">
        <v>38</v>
      </c>
      <c r="B105" s="2" t="s">
        <v>21</v>
      </c>
      <c r="C105" s="2" t="s">
        <v>42</v>
      </c>
      <c r="D105" s="5">
        <v>46143</v>
      </c>
      <c r="E105" s="1">
        <v>216.32</v>
      </c>
      <c r="F105" s="1">
        <f t="shared" si="3"/>
        <v>21.632000000000001</v>
      </c>
      <c r="G105" s="1">
        <f t="shared" si="4"/>
        <v>24.509055999999998</v>
      </c>
      <c r="H105" s="1">
        <f t="shared" si="5"/>
        <v>170.178944</v>
      </c>
    </row>
    <row r="106" spans="1:8" hidden="1" x14ac:dyDescent="0.3">
      <c r="A106" s="2" t="s">
        <v>38</v>
      </c>
      <c r="B106" s="2" t="s">
        <v>16</v>
      </c>
      <c r="C106" s="2" t="s">
        <v>6</v>
      </c>
      <c r="D106" s="5">
        <v>46143</v>
      </c>
      <c r="E106" s="1">
        <v>186.58</v>
      </c>
      <c r="F106" s="1">
        <f t="shared" si="3"/>
        <v>18.658000000000001</v>
      </c>
      <c r="G106" s="1">
        <f t="shared" si="4"/>
        <v>21.139514000000002</v>
      </c>
      <c r="H106" s="1">
        <f t="shared" si="5"/>
        <v>146.78248600000003</v>
      </c>
    </row>
    <row r="107" spans="1:8" hidden="1" x14ac:dyDescent="0.3">
      <c r="A107" s="2" t="s">
        <v>38</v>
      </c>
      <c r="B107" s="2" t="s">
        <v>16</v>
      </c>
      <c r="C107" s="2" t="s">
        <v>19</v>
      </c>
      <c r="D107" s="5">
        <v>46143</v>
      </c>
      <c r="E107" s="1">
        <v>1358.36</v>
      </c>
      <c r="F107" s="1">
        <f t="shared" si="3"/>
        <v>135.83599999999998</v>
      </c>
      <c r="G107" s="1">
        <f t="shared" si="4"/>
        <v>153.902188</v>
      </c>
      <c r="H107" s="1">
        <f t="shared" si="5"/>
        <v>1068.6218119999999</v>
      </c>
    </row>
    <row r="108" spans="1:8" hidden="1" x14ac:dyDescent="0.3">
      <c r="A108" s="2" t="s">
        <v>38</v>
      </c>
      <c r="B108" s="2" t="s">
        <v>16</v>
      </c>
      <c r="C108" s="2" t="s">
        <v>15</v>
      </c>
      <c r="D108" s="5">
        <v>46143</v>
      </c>
      <c r="E108" s="1">
        <v>16.64</v>
      </c>
      <c r="F108" s="1">
        <f t="shared" si="3"/>
        <v>1.6640000000000001</v>
      </c>
      <c r="G108" s="1">
        <f t="shared" si="4"/>
        <v>1.8853120000000001</v>
      </c>
      <c r="H108" s="1">
        <f t="shared" si="5"/>
        <v>13.090688</v>
      </c>
    </row>
    <row r="109" spans="1:8" hidden="1" x14ac:dyDescent="0.3">
      <c r="A109" s="2" t="s">
        <v>38</v>
      </c>
      <c r="B109" s="2" t="s">
        <v>16</v>
      </c>
      <c r="C109" s="2" t="s">
        <v>17</v>
      </c>
      <c r="D109" s="5">
        <v>46143</v>
      </c>
      <c r="E109" s="1">
        <v>1344.79</v>
      </c>
      <c r="F109" s="1">
        <f t="shared" si="3"/>
        <v>134.47900000000001</v>
      </c>
      <c r="G109" s="1">
        <f t="shared" si="4"/>
        <v>152.36470699999998</v>
      </c>
      <c r="H109" s="1">
        <f t="shared" si="5"/>
        <v>1057.946293</v>
      </c>
    </row>
    <row r="110" spans="1:8" hidden="1" x14ac:dyDescent="0.3">
      <c r="A110" s="2" t="s">
        <v>38</v>
      </c>
      <c r="B110" s="2" t="s">
        <v>10</v>
      </c>
      <c r="C110" s="2" t="s">
        <v>9</v>
      </c>
      <c r="D110" s="5">
        <v>46143</v>
      </c>
      <c r="E110" s="1">
        <v>4707.84</v>
      </c>
      <c r="F110" s="1">
        <f t="shared" si="3"/>
        <v>470.78400000000005</v>
      </c>
      <c r="G110" s="1">
        <f t="shared" si="4"/>
        <v>533.39827200000002</v>
      </c>
      <c r="H110" s="1">
        <f t="shared" si="5"/>
        <v>3703.6577280000006</v>
      </c>
    </row>
    <row r="111" spans="1:8" hidden="1" x14ac:dyDescent="0.3">
      <c r="A111" s="2" t="s">
        <v>38</v>
      </c>
      <c r="B111" s="2" t="s">
        <v>7</v>
      </c>
      <c r="C111" s="2" t="s">
        <v>19</v>
      </c>
      <c r="D111" s="5">
        <v>46143</v>
      </c>
      <c r="E111" s="1">
        <v>781.44</v>
      </c>
      <c r="F111" s="1">
        <f t="shared" si="3"/>
        <v>78.144000000000005</v>
      </c>
      <c r="G111" s="1">
        <f t="shared" si="4"/>
        <v>88.537152000000006</v>
      </c>
      <c r="H111" s="1">
        <f t="shared" si="5"/>
        <v>614.75884800000006</v>
      </c>
    </row>
    <row r="112" spans="1:8" hidden="1" x14ac:dyDescent="0.3">
      <c r="A112" s="2" t="s">
        <v>38</v>
      </c>
      <c r="B112" s="2" t="s">
        <v>7</v>
      </c>
      <c r="C112" s="2" t="s">
        <v>17</v>
      </c>
      <c r="D112" s="5">
        <v>46143</v>
      </c>
      <c r="E112" s="1">
        <v>924.36</v>
      </c>
      <c r="F112" s="1">
        <f t="shared" si="3"/>
        <v>92.436000000000007</v>
      </c>
      <c r="G112" s="1">
        <f t="shared" si="4"/>
        <v>104.72998800000001</v>
      </c>
      <c r="H112" s="1">
        <f t="shared" si="5"/>
        <v>727.19401199999993</v>
      </c>
    </row>
    <row r="113" spans="1:8" hidden="1" x14ac:dyDescent="0.3">
      <c r="A113" s="2" t="s">
        <v>38</v>
      </c>
      <c r="B113" s="2" t="s">
        <v>7</v>
      </c>
      <c r="C113" s="2" t="s">
        <v>37</v>
      </c>
      <c r="D113" s="5">
        <v>46143</v>
      </c>
      <c r="E113" s="1">
        <v>3189.22</v>
      </c>
      <c r="F113" s="1">
        <f t="shared" si="3"/>
        <v>318.92200000000003</v>
      </c>
      <c r="G113" s="1">
        <f t="shared" si="4"/>
        <v>361.33862599999998</v>
      </c>
      <c r="H113" s="1">
        <f t="shared" si="5"/>
        <v>2508.959374</v>
      </c>
    </row>
    <row r="114" spans="1:8" hidden="1" x14ac:dyDescent="0.3">
      <c r="A114" s="2" t="s">
        <v>2</v>
      </c>
      <c r="B114" s="2" t="s">
        <v>2</v>
      </c>
      <c r="C114" s="2" t="s">
        <v>5</v>
      </c>
      <c r="D114" s="5">
        <v>46143</v>
      </c>
      <c r="E114" s="1">
        <v>3253.14</v>
      </c>
      <c r="F114" s="1">
        <f t="shared" si="3"/>
        <v>325.31400000000002</v>
      </c>
      <c r="G114" s="1">
        <f t="shared" si="4"/>
        <v>368.58076199999999</v>
      </c>
      <c r="H114" s="1">
        <f t="shared" si="5"/>
        <v>2559.245238</v>
      </c>
    </row>
    <row r="115" spans="1:8" hidden="1" x14ac:dyDescent="0.3">
      <c r="A115" s="2" t="s">
        <v>2</v>
      </c>
      <c r="B115" s="2" t="s">
        <v>2</v>
      </c>
      <c r="C115" s="2" t="s">
        <v>4</v>
      </c>
      <c r="D115" s="5">
        <v>46143</v>
      </c>
      <c r="E115" s="1">
        <v>8568.9599999999991</v>
      </c>
      <c r="F115" s="1">
        <f t="shared" si="3"/>
        <v>856.89599999999996</v>
      </c>
      <c r="G115" s="1">
        <f t="shared" si="4"/>
        <v>970.86316799999986</v>
      </c>
      <c r="H115" s="1">
        <f t="shared" si="5"/>
        <v>6741.2008319999995</v>
      </c>
    </row>
    <row r="116" spans="1:8" hidden="1" x14ac:dyDescent="0.3">
      <c r="A116" s="2" t="s">
        <v>2</v>
      </c>
      <c r="B116" s="2" t="s">
        <v>2</v>
      </c>
      <c r="C116" s="2" t="s">
        <v>3</v>
      </c>
      <c r="D116" s="5">
        <v>46143</v>
      </c>
      <c r="E116" s="1">
        <v>5517.12</v>
      </c>
      <c r="F116" s="1">
        <f t="shared" si="3"/>
        <v>551.71199999999999</v>
      </c>
      <c r="G116" s="1">
        <f t="shared" si="4"/>
        <v>625.089696</v>
      </c>
      <c r="H116" s="1">
        <f t="shared" si="5"/>
        <v>4340.3183039999994</v>
      </c>
    </row>
    <row r="117" spans="1:8" hidden="1" x14ac:dyDescent="0.3">
      <c r="A117" s="2" t="s">
        <v>2</v>
      </c>
      <c r="B117" s="2" t="s">
        <v>2</v>
      </c>
      <c r="C117" s="2" t="s">
        <v>0</v>
      </c>
      <c r="D117" s="5">
        <v>46143</v>
      </c>
      <c r="E117" s="1">
        <v>5051.72</v>
      </c>
      <c r="F117" s="1">
        <f t="shared" si="3"/>
        <v>505.17200000000003</v>
      </c>
      <c r="G117" s="1">
        <f t="shared" si="4"/>
        <v>572.35987599999999</v>
      </c>
      <c r="H117" s="1">
        <f t="shared" si="5"/>
        <v>3974.1881240000007</v>
      </c>
    </row>
    <row r="118" spans="1:8" hidden="1" x14ac:dyDescent="0.3">
      <c r="A118" s="2" t="s">
        <v>38</v>
      </c>
      <c r="B118" s="2" t="s">
        <v>27</v>
      </c>
      <c r="C118" s="2" t="s">
        <v>26</v>
      </c>
      <c r="D118" s="5">
        <v>46174</v>
      </c>
      <c r="E118" s="1">
        <v>715</v>
      </c>
      <c r="F118" s="1">
        <f t="shared" si="3"/>
        <v>71.5</v>
      </c>
      <c r="G118" s="1">
        <f t="shared" si="4"/>
        <v>81.009500000000003</v>
      </c>
      <c r="H118" s="1">
        <f t="shared" si="5"/>
        <v>562.4905</v>
      </c>
    </row>
    <row r="119" spans="1:8" hidden="1" x14ac:dyDescent="0.3">
      <c r="A119" s="2" t="s">
        <v>38</v>
      </c>
      <c r="B119" s="2" t="s">
        <v>25</v>
      </c>
      <c r="C119" s="2" t="s">
        <v>24</v>
      </c>
      <c r="D119" s="5">
        <v>46174</v>
      </c>
      <c r="E119" s="1">
        <v>4443.5200000000004</v>
      </c>
      <c r="F119" s="1">
        <f t="shared" si="3"/>
        <v>444.35200000000009</v>
      </c>
      <c r="G119" s="1">
        <f t="shared" si="4"/>
        <v>503.45081600000003</v>
      </c>
      <c r="H119" s="1">
        <f t="shared" si="5"/>
        <v>3495.7171840000005</v>
      </c>
    </row>
    <row r="120" spans="1:8" hidden="1" x14ac:dyDescent="0.3">
      <c r="A120" s="2" t="s">
        <v>38</v>
      </c>
      <c r="B120" s="2" t="s">
        <v>21</v>
      </c>
      <c r="C120" s="2" t="s">
        <v>41</v>
      </c>
      <c r="D120" s="5">
        <v>46174</v>
      </c>
      <c r="E120" s="1">
        <v>167.04</v>
      </c>
      <c r="F120" s="1">
        <f t="shared" si="3"/>
        <v>16.704000000000001</v>
      </c>
      <c r="G120" s="1">
        <f t="shared" si="4"/>
        <v>18.925632</v>
      </c>
      <c r="H120" s="1">
        <f t="shared" si="5"/>
        <v>131.41036799999998</v>
      </c>
    </row>
    <row r="121" spans="1:8" hidden="1" x14ac:dyDescent="0.3">
      <c r="A121" s="2" t="s">
        <v>38</v>
      </c>
      <c r="B121" s="2" t="s">
        <v>21</v>
      </c>
      <c r="C121" s="2" t="s">
        <v>40</v>
      </c>
      <c r="D121" s="5">
        <v>46174</v>
      </c>
      <c r="E121" s="1">
        <v>5719.68</v>
      </c>
      <c r="F121" s="1">
        <f t="shared" si="3"/>
        <v>571.96800000000007</v>
      </c>
      <c r="G121" s="1">
        <f t="shared" si="4"/>
        <v>648.03974400000004</v>
      </c>
      <c r="H121" s="1">
        <f t="shared" si="5"/>
        <v>4499.6722560000007</v>
      </c>
    </row>
    <row r="122" spans="1:8" hidden="1" x14ac:dyDescent="0.3">
      <c r="A122" s="2" t="s">
        <v>38</v>
      </c>
      <c r="B122" s="2" t="s">
        <v>21</v>
      </c>
      <c r="C122" s="2" t="s">
        <v>42</v>
      </c>
      <c r="D122" s="5">
        <v>46174</v>
      </c>
      <c r="E122" s="1">
        <v>160.63999999999999</v>
      </c>
      <c r="F122" s="1">
        <f t="shared" si="3"/>
        <v>16.064</v>
      </c>
      <c r="G122" s="1">
        <f t="shared" si="4"/>
        <v>18.200512</v>
      </c>
      <c r="H122" s="1">
        <f t="shared" si="5"/>
        <v>126.37548799999999</v>
      </c>
    </row>
    <row r="123" spans="1:8" hidden="1" x14ac:dyDescent="0.3">
      <c r="A123" s="2" t="s">
        <v>38</v>
      </c>
      <c r="B123" s="2" t="s">
        <v>16</v>
      </c>
      <c r="C123" s="2" t="s">
        <v>19</v>
      </c>
      <c r="D123" s="5">
        <v>46174</v>
      </c>
      <c r="E123" s="1">
        <v>2178.14</v>
      </c>
      <c r="F123" s="1">
        <f t="shared" si="3"/>
        <v>217.81399999999999</v>
      </c>
      <c r="G123" s="1">
        <f t="shared" si="4"/>
        <v>246.78326199999998</v>
      </c>
      <c r="H123" s="1">
        <f t="shared" si="5"/>
        <v>1713.5427379999999</v>
      </c>
    </row>
    <row r="124" spans="1:8" hidden="1" x14ac:dyDescent="0.3">
      <c r="A124" s="2" t="s">
        <v>38</v>
      </c>
      <c r="B124" s="2" t="s">
        <v>16</v>
      </c>
      <c r="C124" s="2" t="s">
        <v>15</v>
      </c>
      <c r="D124" s="5">
        <v>46174</v>
      </c>
      <c r="E124" s="1">
        <v>124.8</v>
      </c>
      <c r="F124" s="1">
        <f t="shared" si="3"/>
        <v>12.48</v>
      </c>
      <c r="G124" s="1">
        <f t="shared" si="4"/>
        <v>14.13984</v>
      </c>
      <c r="H124" s="1">
        <f t="shared" si="5"/>
        <v>98.180160000000001</v>
      </c>
    </row>
    <row r="125" spans="1:8" hidden="1" x14ac:dyDescent="0.3">
      <c r="A125" s="2" t="s">
        <v>38</v>
      </c>
      <c r="B125" s="2" t="s">
        <v>16</v>
      </c>
      <c r="C125" s="2" t="s">
        <v>17</v>
      </c>
      <c r="D125" s="5">
        <v>46174</v>
      </c>
      <c r="E125" s="1">
        <v>925.02</v>
      </c>
      <c r="F125" s="1">
        <f t="shared" si="3"/>
        <v>92.50200000000001</v>
      </c>
      <c r="G125" s="1">
        <f t="shared" si="4"/>
        <v>104.804766</v>
      </c>
      <c r="H125" s="1">
        <f t="shared" si="5"/>
        <v>727.71323400000006</v>
      </c>
    </row>
    <row r="126" spans="1:8" hidden="1" x14ac:dyDescent="0.3">
      <c r="A126" s="2" t="s">
        <v>38</v>
      </c>
      <c r="B126" s="2" t="s">
        <v>10</v>
      </c>
      <c r="C126" s="2" t="s">
        <v>9</v>
      </c>
      <c r="D126" s="5">
        <v>46174</v>
      </c>
      <c r="E126" s="1">
        <v>1246.72</v>
      </c>
      <c r="F126" s="1">
        <f t="shared" si="3"/>
        <v>124.67200000000001</v>
      </c>
      <c r="G126" s="1">
        <f t="shared" si="4"/>
        <v>141.253376</v>
      </c>
      <c r="H126" s="1">
        <f t="shared" si="5"/>
        <v>980.794624</v>
      </c>
    </row>
    <row r="127" spans="1:8" hidden="1" x14ac:dyDescent="0.3">
      <c r="A127" s="2" t="s">
        <v>38</v>
      </c>
      <c r="B127" s="2" t="s">
        <v>7</v>
      </c>
      <c r="C127" s="2" t="s">
        <v>19</v>
      </c>
      <c r="D127" s="5">
        <v>46174</v>
      </c>
      <c r="E127" s="1">
        <v>0</v>
      </c>
      <c r="F127" s="1">
        <f t="shared" si="3"/>
        <v>0</v>
      </c>
      <c r="G127" s="1">
        <f t="shared" si="4"/>
        <v>0</v>
      </c>
      <c r="H127" s="1">
        <f t="shared" si="5"/>
        <v>0</v>
      </c>
    </row>
    <row r="128" spans="1:8" hidden="1" x14ac:dyDescent="0.3">
      <c r="A128" s="2" t="s">
        <v>38</v>
      </c>
      <c r="B128" s="2" t="s">
        <v>7</v>
      </c>
      <c r="C128" s="2" t="s">
        <v>17</v>
      </c>
      <c r="D128" s="5">
        <v>46174</v>
      </c>
      <c r="E128" s="1">
        <v>660.99</v>
      </c>
      <c r="F128" s="1">
        <f t="shared" si="3"/>
        <v>66.099000000000004</v>
      </c>
      <c r="G128" s="1">
        <f t="shared" si="4"/>
        <v>74.890167000000005</v>
      </c>
      <c r="H128" s="1">
        <f t="shared" si="5"/>
        <v>520.00083299999994</v>
      </c>
    </row>
    <row r="129" spans="1:8" hidden="1" x14ac:dyDescent="0.3">
      <c r="A129" s="2" t="s">
        <v>2</v>
      </c>
      <c r="B129" s="2" t="s">
        <v>2</v>
      </c>
      <c r="C129" s="2" t="s">
        <v>5</v>
      </c>
      <c r="D129" s="5">
        <v>46174</v>
      </c>
      <c r="E129" s="1">
        <v>3158.76</v>
      </c>
      <c r="F129" s="1">
        <f t="shared" si="3"/>
        <v>315.87600000000003</v>
      </c>
      <c r="G129" s="1">
        <f t="shared" si="4"/>
        <v>357.88750800000003</v>
      </c>
      <c r="H129" s="1">
        <f t="shared" si="5"/>
        <v>2484.9964920000002</v>
      </c>
    </row>
    <row r="130" spans="1:8" hidden="1" x14ac:dyDescent="0.3">
      <c r="A130" s="2" t="s">
        <v>2</v>
      </c>
      <c r="B130" s="2" t="s">
        <v>2</v>
      </c>
      <c r="C130" s="2" t="s">
        <v>4</v>
      </c>
      <c r="D130" s="5">
        <v>46174</v>
      </c>
      <c r="E130" s="1">
        <v>9151.36</v>
      </c>
      <c r="F130" s="1">
        <f t="shared" si="3"/>
        <v>915.13600000000008</v>
      </c>
      <c r="G130" s="1">
        <f t="shared" si="4"/>
        <v>1036.8490879999999</v>
      </c>
      <c r="H130" s="1">
        <f t="shared" si="5"/>
        <v>7199.3749120000002</v>
      </c>
    </row>
    <row r="131" spans="1:8" hidden="1" x14ac:dyDescent="0.3">
      <c r="A131" s="2" t="s">
        <v>2</v>
      </c>
      <c r="B131" s="2" t="s">
        <v>2</v>
      </c>
      <c r="C131" s="2" t="s">
        <v>3</v>
      </c>
      <c r="D131" s="5">
        <v>46174</v>
      </c>
      <c r="E131" s="1">
        <v>7304.64</v>
      </c>
      <c r="F131" s="1">
        <f t="shared" si="3"/>
        <v>730.46400000000006</v>
      </c>
      <c r="G131" s="1">
        <f t="shared" si="4"/>
        <v>827.61571200000003</v>
      </c>
      <c r="H131" s="1">
        <f t="shared" si="5"/>
        <v>5746.5602880000006</v>
      </c>
    </row>
    <row r="132" spans="1:8" hidden="1" x14ac:dyDescent="0.3">
      <c r="A132" s="2" t="s">
        <v>2</v>
      </c>
      <c r="B132" s="2" t="s">
        <v>2</v>
      </c>
      <c r="C132" s="2" t="s">
        <v>0</v>
      </c>
      <c r="D132" s="5">
        <v>46174</v>
      </c>
      <c r="E132" s="1">
        <v>5308.76</v>
      </c>
      <c r="F132" s="1">
        <f t="shared" ref="F132:F150" si="6">E132*0.1</f>
        <v>530.87600000000009</v>
      </c>
      <c r="G132" s="1">
        <f t="shared" ref="G132:G150" si="7">E132*0.1133</f>
        <v>601.48250800000005</v>
      </c>
      <c r="H132" s="1">
        <f t="shared" ref="H132:H150" si="8">E132-F132-G132</f>
        <v>4176.401492</v>
      </c>
    </row>
    <row r="133" spans="1:8" hidden="1" x14ac:dyDescent="0.3">
      <c r="A133" s="2" t="s">
        <v>38</v>
      </c>
      <c r="B133" s="2" t="s">
        <v>43</v>
      </c>
      <c r="C133" s="2" t="s">
        <v>36</v>
      </c>
      <c r="D133" s="5">
        <v>46174</v>
      </c>
      <c r="E133" s="1">
        <v>1958.7</v>
      </c>
      <c r="F133" s="1">
        <f t="shared" si="6"/>
        <v>195.87</v>
      </c>
      <c r="G133" s="1">
        <f t="shared" si="7"/>
        <v>221.92071000000001</v>
      </c>
      <c r="H133" s="1">
        <f t="shared" si="8"/>
        <v>1540.9092899999998</v>
      </c>
    </row>
    <row r="134" spans="1:8" x14ac:dyDescent="0.3">
      <c r="A134" s="2" t="s">
        <v>38</v>
      </c>
      <c r="B134" s="2" t="s">
        <v>27</v>
      </c>
      <c r="C134" s="2" t="s">
        <v>26</v>
      </c>
      <c r="D134" s="5">
        <v>46204</v>
      </c>
      <c r="E134" s="1">
        <v>683.15</v>
      </c>
      <c r="F134" s="1">
        <f t="shared" si="6"/>
        <v>68.314999999999998</v>
      </c>
      <c r="G134" s="1">
        <f t="shared" si="7"/>
        <v>77.400894999999991</v>
      </c>
      <c r="H134" s="1">
        <f t="shared" si="8"/>
        <v>537.43410500000005</v>
      </c>
    </row>
    <row r="135" spans="1:8" x14ac:dyDescent="0.3">
      <c r="A135" s="2" t="s">
        <v>38</v>
      </c>
      <c r="B135" s="2" t="s">
        <v>25</v>
      </c>
      <c r="C135" s="2" t="s">
        <v>24</v>
      </c>
      <c r="D135" s="5">
        <v>46204</v>
      </c>
      <c r="E135" s="1">
        <v>3415.68</v>
      </c>
      <c r="F135" s="1">
        <f t="shared" si="6"/>
        <v>341.56799999999998</v>
      </c>
      <c r="G135" s="1">
        <f t="shared" si="7"/>
        <v>386.99654399999997</v>
      </c>
      <c r="H135" s="1">
        <f t="shared" si="8"/>
        <v>2687.115456</v>
      </c>
    </row>
    <row r="136" spans="1:8" x14ac:dyDescent="0.3">
      <c r="A136" s="2" t="s">
        <v>38</v>
      </c>
      <c r="B136" s="2" t="s">
        <v>21</v>
      </c>
      <c r="C136" s="2" t="s">
        <v>41</v>
      </c>
      <c r="D136" s="5">
        <v>46204</v>
      </c>
      <c r="E136" s="1">
        <v>166.4</v>
      </c>
      <c r="F136" s="1">
        <f t="shared" si="6"/>
        <v>16.64</v>
      </c>
      <c r="G136" s="1">
        <f t="shared" si="7"/>
        <v>18.853120000000001</v>
      </c>
      <c r="H136" s="1">
        <f t="shared" si="8"/>
        <v>130.90688</v>
      </c>
    </row>
    <row r="137" spans="1:8" x14ac:dyDescent="0.3">
      <c r="A137" s="2" t="s">
        <v>38</v>
      </c>
      <c r="B137" s="2" t="s">
        <v>21</v>
      </c>
      <c r="C137" s="2" t="s">
        <v>40</v>
      </c>
      <c r="D137" s="5">
        <v>46204</v>
      </c>
      <c r="E137" s="1">
        <v>6138.24</v>
      </c>
      <c r="F137" s="1">
        <f t="shared" si="6"/>
        <v>613.82399999999996</v>
      </c>
      <c r="G137" s="1">
        <f t="shared" si="7"/>
        <v>695.46259199999997</v>
      </c>
      <c r="H137" s="1">
        <f t="shared" si="8"/>
        <v>4828.9534080000003</v>
      </c>
    </row>
    <row r="138" spans="1:8" x14ac:dyDescent="0.3">
      <c r="A138" s="2" t="s">
        <v>38</v>
      </c>
      <c r="B138" s="2" t="s">
        <v>21</v>
      </c>
      <c r="C138" s="2" t="s">
        <v>42</v>
      </c>
      <c r="D138" s="5">
        <v>46204</v>
      </c>
      <c r="E138" s="1">
        <v>125.44</v>
      </c>
      <c r="F138" s="1">
        <f t="shared" si="6"/>
        <v>12.544</v>
      </c>
      <c r="G138" s="1">
        <f t="shared" si="7"/>
        <v>14.212351999999999</v>
      </c>
      <c r="H138" s="1">
        <f t="shared" si="8"/>
        <v>98.683648000000005</v>
      </c>
    </row>
    <row r="139" spans="1:8" x14ac:dyDescent="0.3">
      <c r="A139" s="2" t="s">
        <v>38</v>
      </c>
      <c r="B139" s="2" t="s">
        <v>16</v>
      </c>
      <c r="C139" s="2" t="s">
        <v>19</v>
      </c>
      <c r="D139" s="5">
        <v>46204</v>
      </c>
      <c r="E139" s="1">
        <v>1717.89</v>
      </c>
      <c r="F139" s="1">
        <f t="shared" si="6"/>
        <v>171.78900000000002</v>
      </c>
      <c r="G139" s="1">
        <f t="shared" si="7"/>
        <v>194.63693700000002</v>
      </c>
      <c r="H139" s="1">
        <f t="shared" si="8"/>
        <v>1351.4640630000001</v>
      </c>
    </row>
    <row r="140" spans="1:8" x14ac:dyDescent="0.3">
      <c r="A140" s="2" t="s">
        <v>38</v>
      </c>
      <c r="B140" s="2" t="s">
        <v>16</v>
      </c>
      <c r="C140" s="2" t="s">
        <v>15</v>
      </c>
      <c r="D140" s="5">
        <v>46204</v>
      </c>
      <c r="E140" s="1">
        <v>291.83999999999997</v>
      </c>
      <c r="F140" s="1">
        <f t="shared" si="6"/>
        <v>29.183999999999997</v>
      </c>
      <c r="G140" s="1">
        <f t="shared" si="7"/>
        <v>33.065472</v>
      </c>
      <c r="H140" s="1">
        <f t="shared" si="8"/>
        <v>229.59052799999995</v>
      </c>
    </row>
    <row r="141" spans="1:8" x14ac:dyDescent="0.3">
      <c r="A141" s="2" t="s">
        <v>38</v>
      </c>
      <c r="B141" s="2" t="s">
        <v>16</v>
      </c>
      <c r="C141" s="2" t="s">
        <v>17</v>
      </c>
      <c r="D141" s="5">
        <v>46204</v>
      </c>
      <c r="E141" s="1">
        <v>1381.15</v>
      </c>
      <c r="F141" s="1">
        <f t="shared" si="6"/>
        <v>138.11500000000001</v>
      </c>
      <c r="G141" s="1">
        <f t="shared" si="7"/>
        <v>156.484295</v>
      </c>
      <c r="H141" s="1">
        <f t="shared" si="8"/>
        <v>1086.5507050000001</v>
      </c>
    </row>
    <row r="142" spans="1:8" x14ac:dyDescent="0.3">
      <c r="A142" s="2" t="s">
        <v>38</v>
      </c>
      <c r="B142" s="2" t="s">
        <v>10</v>
      </c>
      <c r="C142" s="2" t="s">
        <v>9</v>
      </c>
      <c r="D142" s="5">
        <v>46204</v>
      </c>
      <c r="E142" s="1">
        <v>11198.72</v>
      </c>
      <c r="F142" s="1">
        <f t="shared" si="6"/>
        <v>1119.8720000000001</v>
      </c>
      <c r="G142" s="1">
        <f t="shared" si="7"/>
        <v>1268.8149759999999</v>
      </c>
      <c r="H142" s="1">
        <f t="shared" si="8"/>
        <v>8810.0330240000003</v>
      </c>
    </row>
    <row r="143" spans="1:8" x14ac:dyDescent="0.3">
      <c r="A143" s="2" t="s">
        <v>38</v>
      </c>
      <c r="B143" s="2" t="s">
        <v>7</v>
      </c>
      <c r="C143" s="2" t="s">
        <v>19</v>
      </c>
      <c r="D143" s="5">
        <v>46204</v>
      </c>
      <c r="E143" s="1">
        <v>369.27</v>
      </c>
      <c r="F143" s="1">
        <f t="shared" si="6"/>
        <v>36.927</v>
      </c>
      <c r="G143" s="1">
        <f t="shared" si="7"/>
        <v>41.838290999999998</v>
      </c>
      <c r="H143" s="1">
        <f t="shared" si="8"/>
        <v>290.50470899999993</v>
      </c>
    </row>
    <row r="144" spans="1:8" x14ac:dyDescent="0.3">
      <c r="A144" s="2" t="s">
        <v>38</v>
      </c>
      <c r="B144" s="2" t="s">
        <v>7</v>
      </c>
      <c r="C144" s="2" t="s">
        <v>17</v>
      </c>
      <c r="D144" s="5">
        <v>46204</v>
      </c>
      <c r="E144" s="1">
        <v>559.1</v>
      </c>
      <c r="F144" s="1">
        <f t="shared" si="6"/>
        <v>55.910000000000004</v>
      </c>
      <c r="G144" s="1">
        <f t="shared" si="7"/>
        <v>63.346029999999999</v>
      </c>
      <c r="H144" s="1">
        <f t="shared" si="8"/>
        <v>439.84397000000001</v>
      </c>
    </row>
    <row r="145" spans="1:8" x14ac:dyDescent="0.3">
      <c r="A145" s="2" t="s">
        <v>2</v>
      </c>
      <c r="B145" s="2" t="s">
        <v>2</v>
      </c>
      <c r="C145" s="2" t="s">
        <v>5</v>
      </c>
      <c r="D145" s="5">
        <v>46204</v>
      </c>
      <c r="E145" s="1">
        <v>3125.1</v>
      </c>
      <c r="F145" s="1">
        <f t="shared" si="6"/>
        <v>312.51</v>
      </c>
      <c r="G145" s="1">
        <f t="shared" si="7"/>
        <v>354.07382999999999</v>
      </c>
      <c r="H145" s="1">
        <f t="shared" si="8"/>
        <v>2458.5161700000003</v>
      </c>
    </row>
    <row r="146" spans="1:8" x14ac:dyDescent="0.3">
      <c r="A146" s="2" t="s">
        <v>2</v>
      </c>
      <c r="B146" s="2" t="s">
        <v>2</v>
      </c>
      <c r="C146" s="2" t="s">
        <v>4</v>
      </c>
      <c r="D146" s="5">
        <v>46204</v>
      </c>
      <c r="E146" s="1">
        <v>9558.4</v>
      </c>
      <c r="F146" s="1">
        <f t="shared" si="6"/>
        <v>955.84</v>
      </c>
      <c r="G146" s="1">
        <f t="shared" si="7"/>
        <v>1082.9667199999999</v>
      </c>
      <c r="H146" s="1">
        <f t="shared" si="8"/>
        <v>7519.5932799999991</v>
      </c>
    </row>
    <row r="147" spans="1:8" x14ac:dyDescent="0.3">
      <c r="A147" s="2" t="s">
        <v>2</v>
      </c>
      <c r="B147" s="2" t="s">
        <v>2</v>
      </c>
      <c r="C147" s="2" t="s">
        <v>3</v>
      </c>
      <c r="D147" s="5">
        <v>46204</v>
      </c>
      <c r="E147" s="1">
        <v>9561.2199999999993</v>
      </c>
      <c r="F147" s="1">
        <f t="shared" si="6"/>
        <v>956.12199999999996</v>
      </c>
      <c r="G147" s="1">
        <f t="shared" si="7"/>
        <v>1083.2862259999999</v>
      </c>
      <c r="H147" s="1">
        <f t="shared" si="8"/>
        <v>7521.8117739999998</v>
      </c>
    </row>
    <row r="148" spans="1:8" x14ac:dyDescent="0.3">
      <c r="A148" s="2" t="s">
        <v>2</v>
      </c>
      <c r="B148" s="2" t="s">
        <v>2</v>
      </c>
      <c r="C148" s="2" t="s">
        <v>0</v>
      </c>
      <c r="D148" s="5">
        <v>46204</v>
      </c>
      <c r="E148" s="1">
        <v>6443</v>
      </c>
      <c r="F148" s="1">
        <f t="shared" si="6"/>
        <v>644.30000000000007</v>
      </c>
      <c r="G148" s="1">
        <f t="shared" si="7"/>
        <v>729.99189999999999</v>
      </c>
      <c r="H148" s="1">
        <f t="shared" si="8"/>
        <v>5068.7080999999998</v>
      </c>
    </row>
    <row r="149" spans="1:8" x14ac:dyDescent="0.3">
      <c r="A149" s="2" t="s">
        <v>38</v>
      </c>
      <c r="B149" s="2" t="s">
        <v>27</v>
      </c>
      <c r="C149" s="2" t="s">
        <v>26</v>
      </c>
      <c r="D149" s="5">
        <v>46235</v>
      </c>
      <c r="E149" s="1">
        <v>556.4</v>
      </c>
      <c r="F149" s="1">
        <f t="shared" si="6"/>
        <v>55.64</v>
      </c>
      <c r="G149" s="1">
        <f t="shared" si="7"/>
        <v>63.040119999999995</v>
      </c>
      <c r="H149" s="1">
        <f t="shared" si="8"/>
        <v>437.71987999999999</v>
      </c>
    </row>
    <row r="150" spans="1:8" x14ac:dyDescent="0.3">
      <c r="A150" s="2" t="s">
        <v>38</v>
      </c>
      <c r="B150" s="2" t="s">
        <v>25</v>
      </c>
      <c r="C150" s="2" t="s">
        <v>24</v>
      </c>
      <c r="D150" s="5">
        <v>46235</v>
      </c>
      <c r="E150" s="1">
        <v>2684.16</v>
      </c>
      <c r="F150" s="1">
        <f t="shared" si="6"/>
        <v>268.416</v>
      </c>
      <c r="G150" s="1">
        <f t="shared" si="7"/>
        <v>304.11532799999998</v>
      </c>
      <c r="H150" s="1">
        <f t="shared" si="8"/>
        <v>2111.6286719999998</v>
      </c>
    </row>
    <row r="151" spans="1:8" x14ac:dyDescent="0.3">
      <c r="A151" s="2" t="s">
        <v>38</v>
      </c>
      <c r="B151" s="2" t="s">
        <v>21</v>
      </c>
      <c r="C151" s="2" t="s">
        <v>41</v>
      </c>
      <c r="D151" s="5">
        <v>46235</v>
      </c>
      <c r="E151" s="1">
        <v>182.4</v>
      </c>
      <c r="F151" s="1">
        <f t="shared" ref="F151:F163" si="9">E151*0.1</f>
        <v>18.240000000000002</v>
      </c>
      <c r="G151" s="1">
        <f t="shared" ref="G151:G163" si="10">E151*0.1133</f>
        <v>20.66592</v>
      </c>
      <c r="H151" s="1">
        <f t="shared" ref="H151:H163" si="11">E151-F151-G151</f>
        <v>143.49408</v>
      </c>
    </row>
    <row r="152" spans="1:8" x14ac:dyDescent="0.3">
      <c r="A152" s="2" t="s">
        <v>38</v>
      </c>
      <c r="B152" s="2" t="s">
        <v>21</v>
      </c>
      <c r="C152" s="2" t="s">
        <v>40</v>
      </c>
      <c r="D152" s="5">
        <v>46235</v>
      </c>
      <c r="E152" s="1">
        <v>5458.56</v>
      </c>
      <c r="F152" s="1">
        <f t="shared" si="9"/>
        <v>545.85600000000011</v>
      </c>
      <c r="G152" s="1">
        <f t="shared" si="10"/>
        <v>618.45484800000008</v>
      </c>
      <c r="H152" s="1">
        <f t="shared" si="11"/>
        <v>4294.2491520000003</v>
      </c>
    </row>
    <row r="153" spans="1:8" x14ac:dyDescent="0.3">
      <c r="A153" s="2" t="s">
        <v>38</v>
      </c>
      <c r="B153" s="2" t="s">
        <v>21</v>
      </c>
      <c r="C153" s="2" t="s">
        <v>42</v>
      </c>
      <c r="D153" s="5">
        <v>46235</v>
      </c>
      <c r="E153" s="1">
        <v>158.72</v>
      </c>
      <c r="F153" s="1">
        <f t="shared" si="9"/>
        <v>15.872</v>
      </c>
      <c r="G153" s="1">
        <f t="shared" si="10"/>
        <v>17.982976000000001</v>
      </c>
      <c r="H153" s="1">
        <f t="shared" si="11"/>
        <v>124.86502400000001</v>
      </c>
    </row>
    <row r="154" spans="1:8" x14ac:dyDescent="0.3">
      <c r="A154" s="2" t="s">
        <v>38</v>
      </c>
      <c r="B154" s="2" t="s">
        <v>16</v>
      </c>
      <c r="C154" s="2" t="s">
        <v>19</v>
      </c>
      <c r="D154" s="5">
        <v>46235</v>
      </c>
      <c r="E154" s="1">
        <v>2533.6999999999998</v>
      </c>
      <c r="F154" s="1">
        <f t="shared" si="9"/>
        <v>253.37</v>
      </c>
      <c r="G154" s="1">
        <f t="shared" si="10"/>
        <v>287.06820999999997</v>
      </c>
      <c r="H154" s="1">
        <f t="shared" si="11"/>
        <v>1993.26179</v>
      </c>
    </row>
    <row r="155" spans="1:8" x14ac:dyDescent="0.3">
      <c r="A155" s="2" t="s">
        <v>38</v>
      </c>
      <c r="B155" s="2" t="s">
        <v>16</v>
      </c>
      <c r="C155" s="2" t="s">
        <v>15</v>
      </c>
      <c r="D155" s="5">
        <v>46235</v>
      </c>
      <c r="E155" s="1">
        <v>145.91999999999999</v>
      </c>
      <c r="F155" s="1">
        <f t="shared" si="9"/>
        <v>14.591999999999999</v>
      </c>
      <c r="G155" s="1">
        <f t="shared" si="10"/>
        <v>16.532736</v>
      </c>
      <c r="H155" s="1">
        <f t="shared" si="11"/>
        <v>114.79526399999997</v>
      </c>
    </row>
    <row r="156" spans="1:8" x14ac:dyDescent="0.3">
      <c r="A156" s="2" t="s">
        <v>38</v>
      </c>
      <c r="B156" s="2" t="s">
        <v>16</v>
      </c>
      <c r="C156" s="2" t="s">
        <v>17</v>
      </c>
      <c r="D156" s="5">
        <v>46235</v>
      </c>
      <c r="E156" s="1">
        <v>1321.25</v>
      </c>
      <c r="F156" s="1">
        <f t="shared" si="9"/>
        <v>132.125</v>
      </c>
      <c r="G156" s="1">
        <f t="shared" si="10"/>
        <v>149.69762499999999</v>
      </c>
      <c r="H156" s="1">
        <f t="shared" si="11"/>
        <v>1039.427375</v>
      </c>
    </row>
    <row r="157" spans="1:8" x14ac:dyDescent="0.3">
      <c r="A157" s="2" t="s">
        <v>38</v>
      </c>
      <c r="B157" s="2" t="s">
        <v>10</v>
      </c>
      <c r="C157" s="2" t="s">
        <v>9</v>
      </c>
      <c r="D157" s="5">
        <v>46235</v>
      </c>
      <c r="E157" s="1">
        <v>949.12</v>
      </c>
      <c r="F157" s="1">
        <f t="shared" si="9"/>
        <v>94.912000000000006</v>
      </c>
      <c r="G157" s="1">
        <f t="shared" si="10"/>
        <v>107.535296</v>
      </c>
      <c r="H157" s="1">
        <f t="shared" si="11"/>
        <v>746.67270399999995</v>
      </c>
    </row>
    <row r="158" spans="1:8" x14ac:dyDescent="0.3">
      <c r="A158" s="2" t="s">
        <v>38</v>
      </c>
      <c r="B158" s="2" t="s">
        <v>7</v>
      </c>
      <c r="C158" s="2" t="s">
        <v>19</v>
      </c>
      <c r="D158" s="5">
        <v>46235</v>
      </c>
      <c r="E158" s="1">
        <v>0</v>
      </c>
      <c r="F158" s="1">
        <f t="shared" si="9"/>
        <v>0</v>
      </c>
      <c r="G158" s="1">
        <f t="shared" si="10"/>
        <v>0</v>
      </c>
      <c r="H158" s="1">
        <f t="shared" si="11"/>
        <v>0</v>
      </c>
    </row>
    <row r="159" spans="1:8" x14ac:dyDescent="0.3">
      <c r="A159" s="2" t="s">
        <v>38</v>
      </c>
      <c r="B159" s="2" t="s">
        <v>7</v>
      </c>
      <c r="C159" s="2" t="s">
        <v>17</v>
      </c>
      <c r="D159" s="5">
        <v>46235</v>
      </c>
      <c r="E159" s="1">
        <v>350.55</v>
      </c>
      <c r="F159" s="1">
        <f t="shared" si="9"/>
        <v>35.055</v>
      </c>
      <c r="G159" s="1">
        <f t="shared" si="10"/>
        <v>39.717314999999999</v>
      </c>
      <c r="H159" s="1">
        <f t="shared" si="11"/>
        <v>275.77768500000002</v>
      </c>
    </row>
    <row r="160" spans="1:8" x14ac:dyDescent="0.3">
      <c r="A160" s="2" t="s">
        <v>2</v>
      </c>
      <c r="B160" s="2" t="s">
        <v>2</v>
      </c>
      <c r="C160" s="2" t="s">
        <v>5</v>
      </c>
      <c r="D160" s="5">
        <v>46235</v>
      </c>
      <c r="E160" s="1">
        <v>2937.66</v>
      </c>
      <c r="F160" s="1">
        <f t="shared" si="9"/>
        <v>293.76600000000002</v>
      </c>
      <c r="G160" s="1">
        <f t="shared" si="10"/>
        <v>332.83687799999996</v>
      </c>
      <c r="H160" s="1">
        <f t="shared" si="11"/>
        <v>2311.0571219999997</v>
      </c>
    </row>
    <row r="161" spans="1:8" x14ac:dyDescent="0.3">
      <c r="A161" s="2" t="s">
        <v>2</v>
      </c>
      <c r="B161" s="2" t="s">
        <v>2</v>
      </c>
      <c r="C161" s="2" t="s">
        <v>4</v>
      </c>
      <c r="D161" s="5">
        <v>46235</v>
      </c>
      <c r="E161" s="1">
        <v>9253.1200000000008</v>
      </c>
      <c r="F161" s="1">
        <f t="shared" si="9"/>
        <v>925.31200000000013</v>
      </c>
      <c r="G161" s="1">
        <f t="shared" si="10"/>
        <v>1048.378496</v>
      </c>
      <c r="H161" s="1">
        <f t="shared" si="11"/>
        <v>7279.4295040000006</v>
      </c>
    </row>
    <row r="162" spans="1:8" x14ac:dyDescent="0.3">
      <c r="A162" s="2" t="s">
        <v>2</v>
      </c>
      <c r="B162" s="2" t="s">
        <v>2</v>
      </c>
      <c r="C162" s="2" t="s">
        <v>3</v>
      </c>
      <c r="D162" s="5">
        <v>46235</v>
      </c>
      <c r="E162" s="1">
        <v>10187.52</v>
      </c>
      <c r="F162" s="1">
        <f t="shared" si="9"/>
        <v>1018.7520000000001</v>
      </c>
      <c r="G162" s="1">
        <f t="shared" si="10"/>
        <v>1154.2460160000001</v>
      </c>
      <c r="H162" s="1">
        <f t="shared" si="11"/>
        <v>8014.521984</v>
      </c>
    </row>
    <row r="163" spans="1:8" x14ac:dyDescent="0.3">
      <c r="A163" s="2" t="s">
        <v>2</v>
      </c>
      <c r="B163" s="2" t="s">
        <v>2</v>
      </c>
      <c r="C163" s="2" t="s">
        <v>0</v>
      </c>
      <c r="D163" s="5">
        <v>46235</v>
      </c>
      <c r="E163" s="1">
        <v>3850.16</v>
      </c>
      <c r="F163" s="1">
        <f t="shared" si="9"/>
        <v>385.01600000000002</v>
      </c>
      <c r="G163" s="1">
        <f t="shared" si="10"/>
        <v>436.22312799999997</v>
      </c>
      <c r="H163" s="1">
        <f t="shared" si="11"/>
        <v>3028.9208719999997</v>
      </c>
    </row>
  </sheetData>
  <autoFilter ref="A1:H148" xr:uid="{EA5D708C-AB31-473E-9B9D-79F5ACDE382B}">
    <filterColumn colId="3">
      <filters>
        <dateGroupItem year="2026" month="7" dateTimeGrouping="month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REPASSE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jeffeson arlley silva oliveira</dc:creator>
  <cp:lastModifiedBy>jeffeson arlley silva oliveira</cp:lastModifiedBy>
  <dcterms:created xsi:type="dcterms:W3CDTF">2026-01-14T14:16:18Z</dcterms:created>
  <dcterms:modified xsi:type="dcterms:W3CDTF">2026-09-11T18:02:33Z</dcterms:modified>
</cp:coreProperties>
</file>