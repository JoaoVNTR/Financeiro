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0" documentId="8_{274C214E-40D9-447F-87AF-4DE964E1D13E}" xr6:coauthVersionLast="47" xr6:coauthVersionMax="47" xr10:uidLastSave="{222E9676-B729-4EC3-8DBA-061CD2AF5ECF}"/>
  <bookViews>
    <workbookView xWindow="-23400" yWindow="600" windowWidth="17280" windowHeight="8880" xr2:uid="{7312FC1A-F563-4D09-A125-E1314866FDBA}"/>
  </bookViews>
  <sheets>
    <sheet name="REPASSE" sheetId="1" r:id="rId1"/>
  </sheets>
  <definedNames>
    <definedName name="_xlnm._FilterDatabase" localSheetId="0" hidden="1">REPASSE!$A$1:$H$117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2" i="1" l="1"/>
  <c r="H132" i="1" s="1"/>
  <c r="G132" i="1"/>
  <c r="F133" i="1"/>
  <c r="G133" i="1"/>
  <c r="H133" i="1" s="1"/>
  <c r="F131" i="1"/>
  <c r="H131" i="1" s="1"/>
  <c r="G131" i="1"/>
  <c r="F130" i="1"/>
  <c r="G130" i="1"/>
  <c r="F129" i="1"/>
  <c r="G129" i="1"/>
  <c r="H129" i="1"/>
  <c r="F128" i="1"/>
  <c r="H128" i="1" s="1"/>
  <c r="G128" i="1"/>
  <c r="F127" i="1"/>
  <c r="H127" i="1" s="1"/>
  <c r="G127" i="1"/>
  <c r="F126" i="1"/>
  <c r="G126" i="1"/>
  <c r="H126" i="1"/>
  <c r="F125" i="1"/>
  <c r="G125" i="1"/>
  <c r="H125" i="1"/>
  <c r="F124" i="1"/>
  <c r="G124" i="1"/>
  <c r="H124" i="1"/>
  <c r="F123" i="1"/>
  <c r="H123" i="1" s="1"/>
  <c r="G123" i="1"/>
  <c r="F122" i="1"/>
  <c r="H122" i="1" s="1"/>
  <c r="G122" i="1"/>
  <c r="F121" i="1"/>
  <c r="G121" i="1"/>
  <c r="H121" i="1"/>
  <c r="F120" i="1"/>
  <c r="G120" i="1"/>
  <c r="H120" i="1"/>
  <c r="F119" i="1"/>
  <c r="G119" i="1"/>
  <c r="H119" i="1"/>
  <c r="F118" i="1"/>
  <c r="G118" i="1"/>
  <c r="H118" i="1"/>
  <c r="F117" i="1"/>
  <c r="G117" i="1"/>
  <c r="F116" i="1"/>
  <c r="G116" i="1"/>
  <c r="F115" i="1"/>
  <c r="G115" i="1"/>
  <c r="H115" i="1"/>
  <c r="F114" i="1"/>
  <c r="H114" i="1" s="1"/>
  <c r="G114" i="1"/>
  <c r="F113" i="1"/>
  <c r="G113" i="1"/>
  <c r="H113" i="1"/>
  <c r="F112" i="1"/>
  <c r="G112" i="1"/>
  <c r="F111" i="1"/>
  <c r="G111" i="1"/>
  <c r="F110" i="1"/>
  <c r="H110" i="1" s="1"/>
  <c r="G110" i="1"/>
  <c r="F109" i="1"/>
  <c r="G109" i="1"/>
  <c r="H109" i="1"/>
  <c r="F108" i="1"/>
  <c r="G108" i="1"/>
  <c r="F107" i="1"/>
  <c r="G107" i="1"/>
  <c r="F106" i="1"/>
  <c r="G106" i="1"/>
  <c r="H106" i="1"/>
  <c r="F105" i="1"/>
  <c r="G105" i="1"/>
  <c r="H105" i="1"/>
  <c r="F104" i="1"/>
  <c r="G104" i="1"/>
  <c r="F103" i="1"/>
  <c r="G103" i="1"/>
  <c r="F102" i="1"/>
  <c r="G102" i="1"/>
  <c r="F101" i="1"/>
  <c r="G101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H96" i="1" s="1"/>
  <c r="F97" i="1"/>
  <c r="F98" i="1"/>
  <c r="F99" i="1"/>
  <c r="F76" i="1"/>
  <c r="F77" i="1"/>
  <c r="F78" i="1"/>
  <c r="F79" i="1"/>
  <c r="F80" i="1"/>
  <c r="F100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F75" i="1"/>
  <c r="G75" i="1"/>
  <c r="H75" i="1" s="1"/>
  <c r="F74" i="1"/>
  <c r="G74" i="1"/>
  <c r="F73" i="1"/>
  <c r="G73" i="1"/>
  <c r="F72" i="1"/>
  <c r="G72" i="1"/>
  <c r="F71" i="1"/>
  <c r="G71" i="1"/>
  <c r="F70" i="1"/>
  <c r="G70" i="1"/>
  <c r="H70" i="1" s="1"/>
  <c r="F69" i="1"/>
  <c r="G69" i="1"/>
  <c r="F68" i="1"/>
  <c r="G68" i="1"/>
  <c r="F67" i="1"/>
  <c r="G67" i="1"/>
  <c r="F66" i="1"/>
  <c r="G66" i="1"/>
  <c r="H66" i="1" s="1"/>
  <c r="F65" i="1"/>
  <c r="G65" i="1"/>
  <c r="F64" i="1"/>
  <c r="G64" i="1"/>
  <c r="F63" i="1"/>
  <c r="G63" i="1"/>
  <c r="F62" i="1"/>
  <c r="G62" i="1"/>
  <c r="F61" i="1"/>
  <c r="G61" i="1"/>
  <c r="F60" i="1"/>
  <c r="G60" i="1"/>
  <c r="F59" i="1"/>
  <c r="G59" i="1"/>
  <c r="H130" i="1" l="1"/>
  <c r="H84" i="1"/>
  <c r="H108" i="1"/>
  <c r="H111" i="1"/>
  <c r="H117" i="1"/>
  <c r="H101" i="1"/>
  <c r="H112" i="1"/>
  <c r="H92" i="1"/>
  <c r="H102" i="1"/>
  <c r="H59" i="1"/>
  <c r="H103" i="1"/>
  <c r="H104" i="1"/>
  <c r="H107" i="1"/>
  <c r="H116" i="1"/>
  <c r="H73" i="1"/>
  <c r="H95" i="1"/>
  <c r="H87" i="1"/>
  <c r="H63" i="1"/>
  <c r="H67" i="1"/>
  <c r="H71" i="1"/>
  <c r="H98" i="1"/>
  <c r="H90" i="1"/>
  <c r="H82" i="1"/>
  <c r="H97" i="1"/>
  <c r="H89" i="1"/>
  <c r="H88" i="1"/>
  <c r="H94" i="1"/>
  <c r="H72" i="1"/>
  <c r="H60" i="1"/>
  <c r="H69" i="1"/>
  <c r="H93" i="1"/>
  <c r="H100" i="1"/>
  <c r="H77" i="1"/>
  <c r="H74" i="1"/>
  <c r="H99" i="1"/>
  <c r="H91" i="1"/>
  <c r="H81" i="1"/>
  <c r="H86" i="1"/>
  <c r="H83" i="1"/>
  <c r="H85" i="1"/>
  <c r="H62" i="1"/>
  <c r="H79" i="1"/>
  <c r="H68" i="1"/>
  <c r="H80" i="1"/>
  <c r="H61" i="1"/>
  <c r="H65" i="1"/>
  <c r="H78" i="1"/>
  <c r="H64" i="1"/>
  <c r="H76" i="1"/>
  <c r="F58" i="1"/>
  <c r="H58" i="1" s="1"/>
  <c r="G58" i="1"/>
  <c r="F57" i="1"/>
  <c r="G57" i="1"/>
  <c r="F56" i="1"/>
  <c r="G56" i="1"/>
  <c r="H56" i="1" s="1"/>
  <c r="F55" i="1"/>
  <c r="G55" i="1"/>
  <c r="F54" i="1"/>
  <c r="G54" i="1"/>
  <c r="F53" i="1"/>
  <c r="G53" i="1"/>
  <c r="H53" i="1" s="1"/>
  <c r="F52" i="1"/>
  <c r="G52" i="1"/>
  <c r="H52" i="1" s="1"/>
  <c r="F51" i="1"/>
  <c r="G51" i="1"/>
  <c r="F50" i="1"/>
  <c r="G50" i="1"/>
  <c r="F49" i="1"/>
  <c r="G49" i="1"/>
  <c r="F48" i="1"/>
  <c r="G48" i="1"/>
  <c r="F47" i="1"/>
  <c r="G47" i="1"/>
  <c r="F46" i="1"/>
  <c r="G46" i="1"/>
  <c r="F45" i="1"/>
  <c r="G45" i="1"/>
  <c r="F44" i="1"/>
  <c r="G44" i="1"/>
  <c r="F43" i="1"/>
  <c r="G43" i="1"/>
  <c r="F42" i="1"/>
  <c r="G42" i="1"/>
  <c r="F41" i="1"/>
  <c r="G41" i="1"/>
  <c r="F40" i="1"/>
  <c r="G40" i="1"/>
  <c r="F39" i="1"/>
  <c r="G39" i="1"/>
  <c r="F38" i="1"/>
  <c r="H38" i="1" s="1"/>
  <c r="G38" i="1"/>
  <c r="F37" i="1"/>
  <c r="G37" i="1"/>
  <c r="F36" i="1"/>
  <c r="G36" i="1"/>
  <c r="F35" i="1"/>
  <c r="G35" i="1"/>
  <c r="F34" i="1"/>
  <c r="G34" i="1"/>
  <c r="F33" i="1"/>
  <c r="G33" i="1"/>
  <c r="F32" i="1"/>
  <c r="G32" i="1"/>
  <c r="F31" i="1"/>
  <c r="G31" i="1"/>
  <c r="F30" i="1"/>
  <c r="G30" i="1"/>
  <c r="F29" i="1"/>
  <c r="G29" i="1"/>
  <c r="F28" i="1"/>
  <c r="G28" i="1"/>
  <c r="F27" i="1"/>
  <c r="G27" i="1"/>
  <c r="F26" i="1"/>
  <c r="G26" i="1"/>
  <c r="F25" i="1"/>
  <c r="G25" i="1"/>
  <c r="F24" i="1"/>
  <c r="G24" i="1"/>
  <c r="F23" i="1"/>
  <c r="G23" i="1"/>
  <c r="F22" i="1"/>
  <c r="G22" i="1"/>
  <c r="F21" i="1"/>
  <c r="G21" i="1"/>
  <c r="H55" i="1" l="1"/>
  <c r="H25" i="1"/>
  <c r="H45" i="1"/>
  <c r="H50" i="1"/>
  <c r="H31" i="1"/>
  <c r="H32" i="1"/>
  <c r="H28" i="1"/>
  <c r="H46" i="1"/>
  <c r="H44" i="1"/>
  <c r="H41" i="1"/>
  <c r="H34" i="1"/>
  <c r="H23" i="1"/>
  <c r="H36" i="1"/>
  <c r="H43" i="1"/>
  <c r="H57" i="1"/>
  <c r="H33" i="1"/>
  <c r="H30" i="1"/>
  <c r="H47" i="1"/>
  <c r="H42" i="1"/>
  <c r="H26" i="1"/>
  <c r="H29" i="1"/>
  <c r="H39" i="1"/>
  <c r="H21" i="1"/>
  <c r="H37" i="1"/>
  <c r="H49" i="1"/>
  <c r="H24" i="1"/>
  <c r="H48" i="1"/>
  <c r="H40" i="1"/>
  <c r="H35" i="1"/>
  <c r="H27" i="1"/>
  <c r="H51" i="1"/>
  <c r="H22" i="1"/>
  <c r="H54" i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H18" i="1" l="1"/>
  <c r="H19" i="1"/>
  <c r="H11" i="1"/>
  <c r="H3" i="1"/>
  <c r="H17" i="1"/>
  <c r="H5" i="1"/>
  <c r="H16" i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<sst xmlns="http://schemas.openxmlformats.org/spreadsheetml/2006/main" count="404" uniqueCount="44">
  <si>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</si>
  <si>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</si>
  <si>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</si>
  <si>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</si>
  <si>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</si>
  <si>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</si>
  <si>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</si>
  <si>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</si>
  <si>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</si>
  <si>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</si>
  <si>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</si>
  <si>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</si>
  <si>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</si>
  <si>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</si>
  <si>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</si>
  <si>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</si>
  <si>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</si>
  <si>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</si>
  <si>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</si>
  <si>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</si>
  <si>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</si>
  <si>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</si>
  <si>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</si>
  <si>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</si>
  <si>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</si>
  <si>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</si>
  <si>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</si>
  <si>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</si>
  <si>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</si>
  <si>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</si>
  <si>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</si>
  <si>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</si>
  <si>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</si>
  <si>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</si>
  <si>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</si>
  <si>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</si>
  <si>
    <t>ATL DERCIO 1</t>
  </si>
  <si>
    <t>ATL VARJOTA 01</t>
  </si>
  <si>
    <t>FAZENDA IPU TIJUCA</t>
  </si>
  <si>
    <t>ATL. SANTA CLARA - LUAN</t>
  </si>
  <si>
    <t>ATL. SANTA CLARA - BRUNO</t>
  </si>
  <si>
    <t>ATL. CALIFORNIA - BRUNO</t>
  </si>
  <si>
    <t>ATL. SANTA RITA - BRUNO</t>
  </si>
  <si>
    <t>SOLARE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</si>
</sst>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sheetPr filterMode="1"/>
  <dimension ref="A1:H152"/>
  <sheetViews>
    <sheetView tabSelected="1" topLeftCell="A101" zoomScaleNormal="100" workbookViewId="0">
      <selection activeCell="D135" sqref="D135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hidden="1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hidden="1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hidden="1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hidden="1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hidden="1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hidden="1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hidden="1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hidden="1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hidden="1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hidden="1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131" si="3">E30*0.1</f>
        <v>10.752000000000001</v>
      </c>
      <c r="G30" s="1">
        <f t="shared" ref="G30:G131" si="4">E30*0.1133</f>
        <v>12.182015999999999</v>
      </c>
      <c r="H30" s="1">
        <f t="shared" ref="H30:H131" si="5">E30-F30-G30</f>
        <v>84.585983999999996</v>
      </c>
    </row>
    <row r="31" spans="1:8" hidden="1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hidden="1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hidden="1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hidden="1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hidden="1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hidden="1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hidden="1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hidden="1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hidden="1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hidden="1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hidden="1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hidden="1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hidden="1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hidden="1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hidden="1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hidden="1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hidden="1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hidden="1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hidden="1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hidden="1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hidden="1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hidden="1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hidden="1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hidden="1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hidden="1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hidden="1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hidden="1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hidden="1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59" spans="1:8" hidden="1" x14ac:dyDescent="0.3">
      <c r="A59" s="2" t="s">
        <v>38</v>
      </c>
      <c r="B59" s="2" t="s">
        <v>27</v>
      </c>
      <c r="C59" s="2" t="s">
        <v>26</v>
      </c>
      <c r="D59" s="5">
        <v>46082</v>
      </c>
      <c r="E59" s="1">
        <v>676.65</v>
      </c>
      <c r="F59" s="1">
        <f t="shared" si="3"/>
        <v>67.665000000000006</v>
      </c>
      <c r="G59" s="1">
        <f t="shared" si="4"/>
        <v>76.664445000000001</v>
      </c>
      <c r="H59" s="1">
        <f t="shared" si="5"/>
        <v>532.32055500000001</v>
      </c>
    </row>
    <row r="60" spans="1:8" hidden="1" x14ac:dyDescent="0.3">
      <c r="A60" s="2" t="s">
        <v>38</v>
      </c>
      <c r="B60" s="2" t="s">
        <v>25</v>
      </c>
      <c r="C60" s="2" t="s">
        <v>24</v>
      </c>
      <c r="D60" s="5">
        <v>46082</v>
      </c>
      <c r="E60" s="1">
        <v>0</v>
      </c>
      <c r="F60" s="1">
        <f t="shared" si="3"/>
        <v>0</v>
      </c>
      <c r="G60" s="1">
        <f t="shared" si="4"/>
        <v>0</v>
      </c>
      <c r="H60" s="1">
        <f t="shared" si="5"/>
        <v>0</v>
      </c>
    </row>
    <row r="61" spans="1:8" hidden="1" x14ac:dyDescent="0.3">
      <c r="A61" s="2" t="s">
        <v>38</v>
      </c>
      <c r="B61" s="2" t="s">
        <v>21</v>
      </c>
      <c r="C61" s="2" t="s">
        <v>23</v>
      </c>
      <c r="D61" s="5">
        <v>46082</v>
      </c>
      <c r="E61" s="1">
        <v>185.6</v>
      </c>
      <c r="F61" s="1">
        <f t="shared" si="3"/>
        <v>18.559999999999999</v>
      </c>
      <c r="G61" s="1">
        <f t="shared" si="4"/>
        <v>21.028479999999998</v>
      </c>
      <c r="H61" s="1">
        <f t="shared" si="5"/>
        <v>146.01151999999999</v>
      </c>
    </row>
    <row r="62" spans="1:8" hidden="1" x14ac:dyDescent="0.3">
      <c r="A62" s="2" t="s">
        <v>38</v>
      </c>
      <c r="B62" s="2" t="s">
        <v>21</v>
      </c>
      <c r="C62" s="2" t="s">
        <v>22</v>
      </c>
      <c r="D62" s="5">
        <v>46082</v>
      </c>
      <c r="E62" s="1">
        <v>5142.3999999999996</v>
      </c>
      <c r="F62" s="1">
        <f t="shared" si="3"/>
        <v>514.24</v>
      </c>
      <c r="G62" s="1">
        <f t="shared" si="4"/>
        <v>582.63391999999999</v>
      </c>
      <c r="H62" s="1">
        <f t="shared" si="5"/>
        <v>4045.5260799999996</v>
      </c>
    </row>
    <row r="63" spans="1:8" hidden="1" x14ac:dyDescent="0.3">
      <c r="A63" s="2" t="s">
        <v>38</v>
      </c>
      <c r="B63" s="2" t="s">
        <v>21</v>
      </c>
      <c r="C63" s="2" t="s">
        <v>20</v>
      </c>
      <c r="D63" s="5">
        <v>46082</v>
      </c>
      <c r="E63" s="1">
        <v>187.52</v>
      </c>
      <c r="F63" s="1">
        <f t="shared" si="3"/>
        <v>18.752000000000002</v>
      </c>
      <c r="G63" s="1">
        <f t="shared" si="4"/>
        <v>21.246016000000001</v>
      </c>
      <c r="H63" s="1">
        <f t="shared" si="5"/>
        <v>147.521984</v>
      </c>
    </row>
    <row r="64" spans="1:8" hidden="1" x14ac:dyDescent="0.3">
      <c r="A64" s="2" t="s">
        <v>38</v>
      </c>
      <c r="B64" s="2" t="s">
        <v>16</v>
      </c>
      <c r="C64" s="2" t="s">
        <v>6</v>
      </c>
      <c r="D64" s="5">
        <v>46082</v>
      </c>
      <c r="E64" s="1">
        <v>209.63</v>
      </c>
      <c r="F64" s="1">
        <f t="shared" si="3"/>
        <v>20.963000000000001</v>
      </c>
      <c r="G64" s="1">
        <f t="shared" si="4"/>
        <v>23.751079000000001</v>
      </c>
      <c r="H64" s="1">
        <f t="shared" si="5"/>
        <v>164.915921</v>
      </c>
    </row>
    <row r="65" spans="1:8" hidden="1" x14ac:dyDescent="0.3">
      <c r="A65" s="2" t="s">
        <v>38</v>
      </c>
      <c r="B65" s="2" t="s">
        <v>16</v>
      </c>
      <c r="C65" s="2" t="s">
        <v>19</v>
      </c>
      <c r="D65" s="5">
        <v>46082</v>
      </c>
      <c r="E65" s="1">
        <v>2172.9499999999998</v>
      </c>
      <c r="F65" s="1">
        <f t="shared" si="3"/>
        <v>217.29499999999999</v>
      </c>
      <c r="G65" s="1">
        <f t="shared" si="4"/>
        <v>246.19523499999997</v>
      </c>
      <c r="H65" s="1">
        <f t="shared" si="5"/>
        <v>1709.4597649999998</v>
      </c>
    </row>
    <row r="66" spans="1:8" hidden="1" x14ac:dyDescent="0.3">
      <c r="A66" s="2" t="s">
        <v>38</v>
      </c>
      <c r="B66" s="2" t="s">
        <v>16</v>
      </c>
      <c r="C66" s="2" t="s">
        <v>18</v>
      </c>
      <c r="D66" s="5">
        <v>46082</v>
      </c>
      <c r="E66" s="1">
        <v>325</v>
      </c>
      <c r="F66" s="1">
        <f t="shared" si="3"/>
        <v>32.5</v>
      </c>
      <c r="G66" s="1">
        <f t="shared" si="4"/>
        <v>36.822499999999998</v>
      </c>
      <c r="H66" s="1">
        <f t="shared" si="5"/>
        <v>255.67750000000001</v>
      </c>
    </row>
    <row r="67" spans="1:8" hidden="1" x14ac:dyDescent="0.3">
      <c r="A67" s="2" t="s">
        <v>38</v>
      </c>
      <c r="B67" s="2" t="s">
        <v>16</v>
      </c>
      <c r="C67" s="2" t="s">
        <v>17</v>
      </c>
      <c r="D67" s="5">
        <v>46082</v>
      </c>
      <c r="E67" s="1">
        <v>151.68</v>
      </c>
      <c r="F67" s="1">
        <f t="shared" si="3"/>
        <v>15.168000000000001</v>
      </c>
      <c r="G67" s="1">
        <f t="shared" si="4"/>
        <v>17.185344000000001</v>
      </c>
      <c r="H67" s="1">
        <f t="shared" si="5"/>
        <v>119.326656</v>
      </c>
    </row>
    <row r="68" spans="1:8" hidden="1" x14ac:dyDescent="0.3">
      <c r="A68" s="2" t="s">
        <v>38</v>
      </c>
      <c r="B68" s="2" t="s">
        <v>16</v>
      </c>
      <c r="C68" s="2" t="s">
        <v>15</v>
      </c>
      <c r="D68" s="5">
        <v>46082</v>
      </c>
      <c r="E68" s="1">
        <v>1510.91</v>
      </c>
      <c r="F68" s="1">
        <f t="shared" si="3"/>
        <v>151.09100000000001</v>
      </c>
      <c r="G68" s="1">
        <f t="shared" si="4"/>
        <v>171.186103</v>
      </c>
      <c r="H68" s="1">
        <f t="shared" si="5"/>
        <v>1188.632897</v>
      </c>
    </row>
    <row r="69" spans="1:8" hidden="1" x14ac:dyDescent="0.3">
      <c r="A69" s="2" t="s">
        <v>38</v>
      </c>
      <c r="B69" s="2" t="s">
        <v>14</v>
      </c>
      <c r="C69" s="2" t="s">
        <v>12</v>
      </c>
      <c r="D69" s="5">
        <v>46082</v>
      </c>
      <c r="E69" s="1">
        <v>0</v>
      </c>
      <c r="F69" s="1">
        <f t="shared" si="3"/>
        <v>0</v>
      </c>
      <c r="G69" s="1">
        <f t="shared" si="4"/>
        <v>0</v>
      </c>
      <c r="H69" s="1">
        <f t="shared" si="5"/>
        <v>0</v>
      </c>
    </row>
    <row r="70" spans="1:8" hidden="1" x14ac:dyDescent="0.3">
      <c r="A70" s="2" t="s">
        <v>38</v>
      </c>
      <c r="B70" s="2" t="s">
        <v>13</v>
      </c>
      <c r="C70" s="2" t="s">
        <v>12</v>
      </c>
      <c r="D70" s="5">
        <v>46082</v>
      </c>
      <c r="E70" s="1">
        <v>0</v>
      </c>
      <c r="F70" s="1">
        <f t="shared" si="3"/>
        <v>0</v>
      </c>
      <c r="G70" s="1">
        <f t="shared" si="4"/>
        <v>0</v>
      </c>
      <c r="H70" s="1">
        <f t="shared" si="5"/>
        <v>0</v>
      </c>
    </row>
    <row r="71" spans="1:8" hidden="1" x14ac:dyDescent="0.3">
      <c r="A71" s="2" t="s">
        <v>38</v>
      </c>
      <c r="B71" s="2" t="s">
        <v>11</v>
      </c>
      <c r="C71" s="2" t="s">
        <v>9</v>
      </c>
      <c r="D71" s="5">
        <v>46082</v>
      </c>
      <c r="E71" s="1">
        <v>0</v>
      </c>
      <c r="F71" s="1">
        <f t="shared" si="3"/>
        <v>0</v>
      </c>
      <c r="G71" s="1">
        <f t="shared" si="4"/>
        <v>0</v>
      </c>
      <c r="H71" s="1">
        <f t="shared" si="5"/>
        <v>0</v>
      </c>
    </row>
    <row r="72" spans="1:8" hidden="1" x14ac:dyDescent="0.3">
      <c r="A72" s="2" t="s">
        <v>38</v>
      </c>
      <c r="B72" s="2" t="s">
        <v>10</v>
      </c>
      <c r="C72" s="2" t="s">
        <v>9</v>
      </c>
      <c r="D72" s="5">
        <v>46082</v>
      </c>
      <c r="E72" s="1">
        <v>11971.84</v>
      </c>
      <c r="F72" s="1">
        <f t="shared" si="3"/>
        <v>1197.184</v>
      </c>
      <c r="G72" s="1">
        <f t="shared" si="4"/>
        <v>1356.4094720000001</v>
      </c>
      <c r="H72" s="1">
        <f t="shared" si="5"/>
        <v>9418.2465280000015</v>
      </c>
    </row>
    <row r="73" spans="1:8" hidden="1" x14ac:dyDescent="0.3">
      <c r="A73" s="2" t="s">
        <v>38</v>
      </c>
      <c r="B73" s="2" t="s">
        <v>7</v>
      </c>
      <c r="C73" s="2" t="s">
        <v>36</v>
      </c>
      <c r="D73" s="5">
        <v>46082</v>
      </c>
      <c r="E73" s="1">
        <v>1503.12</v>
      </c>
      <c r="F73" s="1">
        <f t="shared" si="3"/>
        <v>150.31199999999998</v>
      </c>
      <c r="G73" s="1">
        <f t="shared" si="4"/>
        <v>170.303496</v>
      </c>
      <c r="H73" s="1">
        <f t="shared" si="5"/>
        <v>1182.504504</v>
      </c>
    </row>
    <row r="74" spans="1:8" hidden="1" x14ac:dyDescent="0.3">
      <c r="A74" s="2" t="s">
        <v>38</v>
      </c>
      <c r="B74" s="2" t="s">
        <v>7</v>
      </c>
      <c r="C74" s="2" t="s">
        <v>19</v>
      </c>
      <c r="D74" s="5">
        <v>46082</v>
      </c>
      <c r="E74" s="1">
        <v>0</v>
      </c>
      <c r="F74" s="1">
        <f t="shared" si="3"/>
        <v>0</v>
      </c>
      <c r="G74" s="1">
        <f t="shared" si="4"/>
        <v>0</v>
      </c>
      <c r="H74" s="1">
        <f t="shared" si="5"/>
        <v>0</v>
      </c>
    </row>
    <row r="75" spans="1:8" hidden="1" x14ac:dyDescent="0.3">
      <c r="A75" s="2" t="s">
        <v>38</v>
      </c>
      <c r="B75" s="2" t="s">
        <v>7</v>
      </c>
      <c r="C75" s="2" t="s">
        <v>17</v>
      </c>
      <c r="D75" s="5">
        <v>46082</v>
      </c>
      <c r="E75" s="1">
        <v>550.89</v>
      </c>
      <c r="F75" s="1">
        <f t="shared" si="3"/>
        <v>55.088999999999999</v>
      </c>
      <c r="G75" s="1">
        <f t="shared" si="4"/>
        <v>62.415836999999996</v>
      </c>
      <c r="H75" s="1">
        <f t="shared" si="5"/>
        <v>433.38516299999998</v>
      </c>
    </row>
    <row r="76" spans="1:8" hidden="1" x14ac:dyDescent="0.3">
      <c r="A76" s="2" t="s">
        <v>38</v>
      </c>
      <c r="B76" s="2" t="s">
        <v>7</v>
      </c>
      <c r="C76" s="2" t="s">
        <v>37</v>
      </c>
      <c r="D76" s="5">
        <v>46082</v>
      </c>
      <c r="E76" s="1">
        <v>14073.16</v>
      </c>
      <c r="F76" s="1">
        <f t="shared" si="3"/>
        <v>1407.316</v>
      </c>
      <c r="G76" s="1">
        <f t="shared" si="4"/>
        <v>1594.489028</v>
      </c>
      <c r="H76" s="1">
        <f t="shared" si="5"/>
        <v>11071.354971999999</v>
      </c>
    </row>
    <row r="77" spans="1:8" hidden="1" x14ac:dyDescent="0.3">
      <c r="A77" s="2" t="s">
        <v>2</v>
      </c>
      <c r="B77" s="2" t="s">
        <v>1</v>
      </c>
      <c r="C77" s="2" t="s">
        <v>5</v>
      </c>
      <c r="D77" s="5">
        <v>46082</v>
      </c>
      <c r="E77" s="1">
        <v>2874.96</v>
      </c>
      <c r="F77" s="1">
        <f t="shared" si="3"/>
        <v>287.49600000000004</v>
      </c>
      <c r="G77" s="1">
        <f t="shared" si="4"/>
        <v>325.73296799999997</v>
      </c>
      <c r="H77" s="1">
        <f t="shared" si="5"/>
        <v>2261.7310320000001</v>
      </c>
    </row>
    <row r="78" spans="1:8" hidden="1" x14ac:dyDescent="0.3">
      <c r="A78" s="2" t="s">
        <v>2</v>
      </c>
      <c r="B78" s="2" t="s">
        <v>1</v>
      </c>
      <c r="C78" s="2" t="s">
        <v>4</v>
      </c>
      <c r="D78" s="5">
        <v>46082</v>
      </c>
      <c r="E78" s="1">
        <v>8915.2000000000007</v>
      </c>
      <c r="F78" s="1">
        <f t="shared" si="3"/>
        <v>891.5200000000001</v>
      </c>
      <c r="G78" s="1">
        <f t="shared" si="4"/>
        <v>1010.09216</v>
      </c>
      <c r="H78" s="1">
        <f t="shared" si="5"/>
        <v>7013.5878400000001</v>
      </c>
    </row>
    <row r="79" spans="1:8" hidden="1" x14ac:dyDescent="0.3">
      <c r="A79" s="2" t="s">
        <v>2</v>
      </c>
      <c r="B79" s="2" t="s">
        <v>1</v>
      </c>
      <c r="C79" s="2" t="s">
        <v>3</v>
      </c>
      <c r="D79" s="5">
        <v>46082</v>
      </c>
      <c r="E79" s="1">
        <v>6004.99</v>
      </c>
      <c r="F79" s="1">
        <f t="shared" si="3"/>
        <v>600.49900000000002</v>
      </c>
      <c r="G79" s="1">
        <f t="shared" si="4"/>
        <v>680.36536699999999</v>
      </c>
      <c r="H79" s="1">
        <f t="shared" si="5"/>
        <v>4724.1256329999997</v>
      </c>
    </row>
    <row r="80" spans="1:8" hidden="1" x14ac:dyDescent="0.3">
      <c r="A80" s="2" t="s">
        <v>2</v>
      </c>
      <c r="B80" s="2" t="s">
        <v>1</v>
      </c>
      <c r="C80" s="2" t="s">
        <v>0</v>
      </c>
      <c r="D80" s="5">
        <v>46082</v>
      </c>
      <c r="E80" s="1">
        <v>5360.44</v>
      </c>
      <c r="F80" s="1">
        <f t="shared" si="3"/>
        <v>536.04399999999998</v>
      </c>
      <c r="G80" s="1">
        <f t="shared" si="4"/>
        <v>607.337852</v>
      </c>
      <c r="H80" s="1">
        <f t="shared" si="5"/>
        <v>4217.0581480000001</v>
      </c>
    </row>
    <row r="81" spans="1:8" hidden="1" x14ac:dyDescent="0.3">
      <c r="A81" s="2" t="s">
        <v>38</v>
      </c>
      <c r="B81" s="2" t="s">
        <v>27</v>
      </c>
      <c r="C81" s="2" t="s">
        <v>26</v>
      </c>
      <c r="D81" s="5">
        <v>46113</v>
      </c>
      <c r="E81" s="1">
        <v>653.25</v>
      </c>
      <c r="F81" s="1">
        <f>E81*0.1</f>
        <v>65.325000000000003</v>
      </c>
      <c r="G81" s="1">
        <f t="shared" si="4"/>
        <v>74.013225000000006</v>
      </c>
      <c r="H81" s="1">
        <f t="shared" si="5"/>
        <v>513.91177499999992</v>
      </c>
    </row>
    <row r="82" spans="1:8" hidden="1" x14ac:dyDescent="0.3">
      <c r="A82" s="2" t="s">
        <v>38</v>
      </c>
      <c r="B82" s="2" t="s">
        <v>25</v>
      </c>
      <c r="C82" s="2" t="s">
        <v>24</v>
      </c>
      <c r="D82" s="5">
        <v>46113</v>
      </c>
      <c r="E82" s="1">
        <v>3565.44</v>
      </c>
      <c r="F82" s="1">
        <f t="shared" si="3"/>
        <v>356.54400000000004</v>
      </c>
      <c r="G82" s="1">
        <f t="shared" si="4"/>
        <v>403.96435200000002</v>
      </c>
      <c r="H82" s="1">
        <f t="shared" si="5"/>
        <v>2804.9316480000002</v>
      </c>
    </row>
    <row r="83" spans="1:8" hidden="1" x14ac:dyDescent="0.3">
      <c r="A83" s="2" t="s">
        <v>38</v>
      </c>
      <c r="B83" s="2" t="s">
        <v>21</v>
      </c>
      <c r="C83" s="2" t="s">
        <v>23</v>
      </c>
      <c r="D83" s="5">
        <v>46113</v>
      </c>
      <c r="E83" s="1">
        <v>161.91999999999999</v>
      </c>
      <c r="F83" s="1">
        <f t="shared" si="3"/>
        <v>16.192</v>
      </c>
      <c r="G83" s="1">
        <f t="shared" si="4"/>
        <v>18.345535999999999</v>
      </c>
      <c r="H83" s="1">
        <f t="shared" si="5"/>
        <v>127.38246399999998</v>
      </c>
    </row>
    <row r="84" spans="1:8" hidden="1" x14ac:dyDescent="0.3">
      <c r="A84" s="2" t="s">
        <v>38</v>
      </c>
      <c r="B84" s="2" t="s">
        <v>21</v>
      </c>
      <c r="C84" s="2" t="s">
        <v>39</v>
      </c>
      <c r="D84" s="5">
        <v>46113</v>
      </c>
      <c r="E84" s="1">
        <v>3092.16</v>
      </c>
      <c r="F84" s="1">
        <f t="shared" si="3"/>
        <v>309.21600000000001</v>
      </c>
      <c r="G84" s="1">
        <f t="shared" si="4"/>
        <v>350.34172799999999</v>
      </c>
      <c r="H84" s="1">
        <f t="shared" si="5"/>
        <v>2432.6022720000001</v>
      </c>
    </row>
    <row r="85" spans="1:8" hidden="1" x14ac:dyDescent="0.3">
      <c r="A85" s="2" t="s">
        <v>38</v>
      </c>
      <c r="B85" s="2" t="s">
        <v>21</v>
      </c>
      <c r="C85" s="2" t="s">
        <v>40</v>
      </c>
      <c r="D85" s="5">
        <v>46113</v>
      </c>
      <c r="E85" s="1">
        <v>3092.16</v>
      </c>
      <c r="F85" s="1">
        <f t="shared" si="3"/>
        <v>309.21600000000001</v>
      </c>
      <c r="G85" s="1">
        <f t="shared" si="4"/>
        <v>350.34172799999999</v>
      </c>
      <c r="H85" s="1">
        <f t="shared" si="5"/>
        <v>2432.6022720000001</v>
      </c>
    </row>
    <row r="86" spans="1:8" hidden="1" x14ac:dyDescent="0.3">
      <c r="A86" s="2" t="s">
        <v>38</v>
      </c>
      <c r="B86" s="2" t="s">
        <v>21</v>
      </c>
      <c r="C86" s="2" t="s">
        <v>20</v>
      </c>
      <c r="D86" s="5">
        <v>46113</v>
      </c>
      <c r="E86" s="1">
        <v>281.60000000000002</v>
      </c>
      <c r="F86" s="1">
        <f t="shared" si="3"/>
        <v>28.160000000000004</v>
      </c>
      <c r="G86" s="1">
        <f t="shared" si="4"/>
        <v>31.905280000000001</v>
      </c>
      <c r="H86" s="1">
        <f t="shared" si="5"/>
        <v>221.53472000000002</v>
      </c>
    </row>
    <row r="87" spans="1:8" hidden="1" x14ac:dyDescent="0.3">
      <c r="A87" s="2" t="s">
        <v>38</v>
      </c>
      <c r="B87" s="2" t="s">
        <v>16</v>
      </c>
      <c r="C87" s="2" t="s">
        <v>6</v>
      </c>
      <c r="D87" s="5">
        <v>46113</v>
      </c>
      <c r="E87" s="1">
        <v>1561.36</v>
      </c>
      <c r="F87" s="1">
        <f t="shared" si="3"/>
        <v>156.136</v>
      </c>
      <c r="G87" s="1">
        <f t="shared" si="4"/>
        <v>176.90208799999999</v>
      </c>
      <c r="H87" s="1">
        <f t="shared" si="5"/>
        <v>1228.3219119999999</v>
      </c>
    </row>
    <row r="88" spans="1:8" hidden="1" x14ac:dyDescent="0.3">
      <c r="A88" s="2" t="s">
        <v>38</v>
      </c>
      <c r="B88" s="2" t="s">
        <v>16</v>
      </c>
      <c r="C88" s="2" t="s">
        <v>19</v>
      </c>
      <c r="D88" s="5">
        <v>46113</v>
      </c>
      <c r="E88" s="1">
        <v>2096.2800000000002</v>
      </c>
      <c r="F88" s="1">
        <f t="shared" si="3"/>
        <v>209.62800000000004</v>
      </c>
      <c r="G88" s="1">
        <f t="shared" si="4"/>
        <v>237.50852400000002</v>
      </c>
      <c r="H88" s="1">
        <f t="shared" si="5"/>
        <v>1649.143476</v>
      </c>
    </row>
    <row r="89" spans="1:8" hidden="1" x14ac:dyDescent="0.3">
      <c r="A89" s="2" t="s">
        <v>38</v>
      </c>
      <c r="B89" s="2" t="s">
        <v>16</v>
      </c>
      <c r="C89" s="2" t="s">
        <v>18</v>
      </c>
      <c r="D89" s="5">
        <v>46113</v>
      </c>
      <c r="E89" s="1">
        <v>0</v>
      </c>
      <c r="F89" s="1">
        <f t="shared" si="3"/>
        <v>0</v>
      </c>
      <c r="G89" s="1">
        <f t="shared" si="4"/>
        <v>0</v>
      </c>
      <c r="H89" s="1">
        <f t="shared" si="5"/>
        <v>0</v>
      </c>
    </row>
    <row r="90" spans="1:8" hidden="1" x14ac:dyDescent="0.3">
      <c r="A90" s="2" t="s">
        <v>38</v>
      </c>
      <c r="B90" s="2" t="s">
        <v>16</v>
      </c>
      <c r="C90" s="2" t="s">
        <v>15</v>
      </c>
      <c r="D90" s="5">
        <v>46113</v>
      </c>
      <c r="E90" s="1">
        <v>133.12</v>
      </c>
      <c r="F90" s="1">
        <f t="shared" si="3"/>
        <v>13.312000000000001</v>
      </c>
      <c r="G90" s="1">
        <f t="shared" si="4"/>
        <v>15.082496000000001</v>
      </c>
      <c r="H90" s="1">
        <f t="shared" si="5"/>
        <v>104.725504</v>
      </c>
    </row>
    <row r="91" spans="1:8" hidden="1" x14ac:dyDescent="0.3">
      <c r="A91" s="2" t="s">
        <v>38</v>
      </c>
      <c r="B91" s="2" t="s">
        <v>16</v>
      </c>
      <c r="C91" s="2" t="s">
        <v>17</v>
      </c>
      <c r="D91" s="5">
        <v>46113</v>
      </c>
      <c r="E91" s="1">
        <v>979.05</v>
      </c>
      <c r="F91" s="1">
        <f t="shared" si="3"/>
        <v>97.905000000000001</v>
      </c>
      <c r="G91" s="1">
        <f t="shared" si="4"/>
        <v>110.92636499999999</v>
      </c>
      <c r="H91" s="1">
        <f t="shared" si="5"/>
        <v>770.21863499999995</v>
      </c>
    </row>
    <row r="92" spans="1:8" hidden="1" x14ac:dyDescent="0.3">
      <c r="A92" s="2" t="s">
        <v>38</v>
      </c>
      <c r="B92" s="2" t="s">
        <v>10</v>
      </c>
      <c r="C92" s="2" t="s">
        <v>9</v>
      </c>
      <c r="D92" s="5">
        <v>46113</v>
      </c>
      <c r="E92" s="1">
        <v>472.92</v>
      </c>
      <c r="F92" s="1">
        <f t="shared" si="3"/>
        <v>47.292000000000002</v>
      </c>
      <c r="G92" s="1">
        <f t="shared" si="4"/>
        <v>53.581836000000003</v>
      </c>
      <c r="H92" s="1">
        <f t="shared" si="5"/>
        <v>372.04616400000003</v>
      </c>
    </row>
    <row r="93" spans="1:8" hidden="1" x14ac:dyDescent="0.3">
      <c r="A93" s="2" t="s">
        <v>38</v>
      </c>
      <c r="B93" s="2" t="s">
        <v>7</v>
      </c>
      <c r="C93" s="2" t="s">
        <v>36</v>
      </c>
      <c r="D93" s="5">
        <v>46113</v>
      </c>
      <c r="E93" s="1">
        <v>3357.01</v>
      </c>
      <c r="F93" s="1">
        <f t="shared" si="3"/>
        <v>335.70100000000002</v>
      </c>
      <c r="G93" s="1">
        <f t="shared" si="4"/>
        <v>380.34923300000003</v>
      </c>
      <c r="H93" s="1">
        <f t="shared" si="5"/>
        <v>2640.9597670000003</v>
      </c>
    </row>
    <row r="94" spans="1:8" hidden="1" x14ac:dyDescent="0.3">
      <c r="A94" s="2" t="s">
        <v>38</v>
      </c>
      <c r="B94" s="2" t="s">
        <v>7</v>
      </c>
      <c r="C94" s="2" t="s">
        <v>19</v>
      </c>
      <c r="D94" s="5">
        <v>46113</v>
      </c>
      <c r="E94" s="1">
        <v>447.82</v>
      </c>
      <c r="F94" s="1">
        <f t="shared" si="3"/>
        <v>44.782000000000004</v>
      </c>
      <c r="G94" s="1">
        <f t="shared" si="4"/>
        <v>50.738005999999999</v>
      </c>
      <c r="H94" s="1">
        <f t="shared" si="5"/>
        <v>352.29999400000003</v>
      </c>
    </row>
    <row r="95" spans="1:8" hidden="1" x14ac:dyDescent="0.3">
      <c r="A95" s="2" t="s">
        <v>38</v>
      </c>
      <c r="B95" s="2" t="s">
        <v>7</v>
      </c>
      <c r="C95" s="2" t="s">
        <v>17</v>
      </c>
      <c r="D95" s="5">
        <v>46113</v>
      </c>
      <c r="E95" s="1">
        <v>377.5</v>
      </c>
      <c r="F95" s="1">
        <f t="shared" si="3"/>
        <v>37.75</v>
      </c>
      <c r="G95" s="1">
        <f t="shared" si="4"/>
        <v>42.77075</v>
      </c>
      <c r="H95" s="1">
        <f t="shared" si="5"/>
        <v>296.97924999999998</v>
      </c>
    </row>
    <row r="96" spans="1:8" hidden="1" x14ac:dyDescent="0.3">
      <c r="A96" s="2" t="s">
        <v>38</v>
      </c>
      <c r="B96" s="2" t="s">
        <v>7</v>
      </c>
      <c r="C96" s="2" t="s">
        <v>37</v>
      </c>
      <c r="D96" s="5">
        <v>46113</v>
      </c>
      <c r="E96" s="1">
        <v>1573</v>
      </c>
      <c r="F96" s="1">
        <f t="shared" si="3"/>
        <v>157.30000000000001</v>
      </c>
      <c r="G96" s="1">
        <f t="shared" si="4"/>
        <v>178.2209</v>
      </c>
      <c r="H96" s="1">
        <f t="shared" si="5"/>
        <v>1237.4791</v>
      </c>
    </row>
    <row r="97" spans="1:8" hidden="1" x14ac:dyDescent="0.3">
      <c r="A97" s="2" t="s">
        <v>2</v>
      </c>
      <c r="B97" s="2" t="s">
        <v>2</v>
      </c>
      <c r="C97" s="2" t="s">
        <v>5</v>
      </c>
      <c r="D97" s="5">
        <v>46113</v>
      </c>
      <c r="E97" s="1">
        <v>3391.74</v>
      </c>
      <c r="F97" s="1">
        <f t="shared" si="3"/>
        <v>339.17399999999998</v>
      </c>
      <c r="G97" s="1">
        <f t="shared" si="4"/>
        <v>384.28414199999997</v>
      </c>
      <c r="H97" s="1">
        <f t="shared" si="5"/>
        <v>2668.2818579999998</v>
      </c>
    </row>
    <row r="98" spans="1:8" hidden="1" x14ac:dyDescent="0.3">
      <c r="A98" s="2" t="s">
        <v>2</v>
      </c>
      <c r="B98" s="2" t="s">
        <v>2</v>
      </c>
      <c r="C98" s="2" t="s">
        <v>4</v>
      </c>
      <c r="D98" s="5">
        <v>46113</v>
      </c>
      <c r="E98" s="1">
        <v>8726.4</v>
      </c>
      <c r="F98" s="1">
        <f t="shared" si="3"/>
        <v>872.64</v>
      </c>
      <c r="G98" s="1">
        <f t="shared" si="4"/>
        <v>988.70111999999995</v>
      </c>
      <c r="H98" s="1">
        <f t="shared" si="5"/>
        <v>6865.0588799999996</v>
      </c>
    </row>
    <row r="99" spans="1:8" hidden="1" x14ac:dyDescent="0.3">
      <c r="A99" s="2" t="s">
        <v>2</v>
      </c>
      <c r="B99" s="2" t="s">
        <v>2</v>
      </c>
      <c r="C99" s="2" t="s">
        <v>3</v>
      </c>
      <c r="D99" s="5">
        <v>46113</v>
      </c>
      <c r="E99" s="1">
        <v>7542.53</v>
      </c>
      <c r="F99" s="1">
        <f t="shared" si="3"/>
        <v>754.25300000000004</v>
      </c>
      <c r="G99" s="1">
        <f t="shared" si="4"/>
        <v>854.56864899999994</v>
      </c>
      <c r="H99" s="1">
        <f t="shared" si="5"/>
        <v>5933.7083510000002</v>
      </c>
    </row>
    <row r="100" spans="1:8" hidden="1" x14ac:dyDescent="0.3">
      <c r="A100" s="2" t="s">
        <v>2</v>
      </c>
      <c r="B100" s="2" t="s">
        <v>2</v>
      </c>
      <c r="C100" s="2" t="s">
        <v>0</v>
      </c>
      <c r="D100" s="5">
        <v>46113</v>
      </c>
      <c r="E100" s="1">
        <v>0</v>
      </c>
      <c r="F100" s="1">
        <f t="shared" si="3"/>
        <v>0</v>
      </c>
      <c r="G100" s="1">
        <f t="shared" si="4"/>
        <v>0</v>
      </c>
      <c r="H100" s="1">
        <f t="shared" si="5"/>
        <v>0</v>
      </c>
    </row>
    <row r="101" spans="1:8" x14ac:dyDescent="0.3">
      <c r="A101" s="2" t="s">
        <v>38</v>
      </c>
      <c r="B101" s="2" t="s">
        <v>27</v>
      </c>
      <c r="C101" s="2" t="s">
        <v>26</v>
      </c>
      <c r="D101" s="5">
        <v>46143</v>
      </c>
      <c r="E101" s="1">
        <v>646.1</v>
      </c>
      <c r="F101" s="1">
        <f t="shared" si="3"/>
        <v>64.61</v>
      </c>
      <c r="G101" s="1">
        <f t="shared" si="4"/>
        <v>73.203130000000002</v>
      </c>
      <c r="H101" s="1">
        <f t="shared" si="5"/>
        <v>508.28687000000002</v>
      </c>
    </row>
    <row r="102" spans="1:8" x14ac:dyDescent="0.3">
      <c r="A102" s="2" t="s">
        <v>38</v>
      </c>
      <c r="B102" s="2" t="s">
        <v>25</v>
      </c>
      <c r="C102" s="2" t="s">
        <v>24</v>
      </c>
      <c r="D102" s="5">
        <v>46143</v>
      </c>
      <c r="E102" s="1">
        <v>3776.64</v>
      </c>
      <c r="F102" s="1">
        <f t="shared" si="3"/>
        <v>377.66399999999999</v>
      </c>
      <c r="G102" s="1">
        <f t="shared" si="4"/>
        <v>427.89331199999998</v>
      </c>
      <c r="H102" s="1">
        <f t="shared" si="5"/>
        <v>2971.0826879999995</v>
      </c>
    </row>
    <row r="103" spans="1:8" x14ac:dyDescent="0.3">
      <c r="A103" s="2" t="s">
        <v>38</v>
      </c>
      <c r="B103" s="2" t="s">
        <v>21</v>
      </c>
      <c r="C103" s="2" t="s">
        <v>41</v>
      </c>
      <c r="D103" s="5">
        <v>46143</v>
      </c>
      <c r="E103" s="1">
        <v>168.96</v>
      </c>
      <c r="F103" s="1">
        <f t="shared" si="3"/>
        <v>16.896000000000001</v>
      </c>
      <c r="G103" s="1">
        <f t="shared" si="4"/>
        <v>19.143167999999999</v>
      </c>
      <c r="H103" s="1">
        <f t="shared" si="5"/>
        <v>132.92083200000002</v>
      </c>
    </row>
    <row r="104" spans="1:8" x14ac:dyDescent="0.3">
      <c r="A104" s="2" t="s">
        <v>38</v>
      </c>
      <c r="B104" s="2" t="s">
        <v>21</v>
      </c>
      <c r="C104" s="2" t="s">
        <v>40</v>
      </c>
      <c r="D104" s="5">
        <v>46143</v>
      </c>
      <c r="E104" s="1">
        <v>5104.6400000000003</v>
      </c>
      <c r="F104" s="1">
        <f t="shared" si="3"/>
        <v>510.46400000000006</v>
      </c>
      <c r="G104" s="1">
        <f t="shared" si="4"/>
        <v>578.35571200000004</v>
      </c>
      <c r="H104" s="1">
        <f t="shared" si="5"/>
        <v>4015.8202880000003</v>
      </c>
    </row>
    <row r="105" spans="1:8" x14ac:dyDescent="0.3">
      <c r="A105" s="2" t="s">
        <v>38</v>
      </c>
      <c r="B105" s="2" t="s">
        <v>21</v>
      </c>
      <c r="C105" s="2" t="s">
        <v>42</v>
      </c>
      <c r="D105" s="5">
        <v>46143</v>
      </c>
      <c r="E105" s="1">
        <v>216.32</v>
      </c>
      <c r="F105" s="1">
        <f t="shared" si="3"/>
        <v>21.632000000000001</v>
      </c>
      <c r="G105" s="1">
        <f t="shared" si="4"/>
        <v>24.509055999999998</v>
      </c>
      <c r="H105" s="1">
        <f t="shared" si="5"/>
        <v>170.178944</v>
      </c>
    </row>
    <row r="106" spans="1:8" x14ac:dyDescent="0.3">
      <c r="A106" s="2" t="s">
        <v>38</v>
      </c>
      <c r="B106" s="2" t="s">
        <v>16</v>
      </c>
      <c r="C106" s="2" t="s">
        <v>6</v>
      </c>
      <c r="D106" s="5">
        <v>46143</v>
      </c>
      <c r="E106" s="1">
        <v>186.58</v>
      </c>
      <c r="F106" s="1">
        <f t="shared" si="3"/>
        <v>18.658000000000001</v>
      </c>
      <c r="G106" s="1">
        <f t="shared" si="4"/>
        <v>21.139514000000002</v>
      </c>
      <c r="H106" s="1">
        <f t="shared" si="5"/>
        <v>146.78248600000003</v>
      </c>
    </row>
    <row r="107" spans="1:8" x14ac:dyDescent="0.3">
      <c r="A107" s="2" t="s">
        <v>38</v>
      </c>
      <c r="B107" s="2" t="s">
        <v>16</v>
      </c>
      <c r="C107" s="2" t="s">
        <v>19</v>
      </c>
      <c r="D107" s="5">
        <v>46143</v>
      </c>
      <c r="E107" s="1">
        <v>1358.36</v>
      </c>
      <c r="F107" s="1">
        <f t="shared" si="3"/>
        <v>135.83599999999998</v>
      </c>
      <c r="G107" s="1">
        <f t="shared" si="4"/>
        <v>153.902188</v>
      </c>
      <c r="H107" s="1">
        <f t="shared" si="5"/>
        <v>1068.6218119999999</v>
      </c>
    </row>
    <row r="108" spans="1:8" x14ac:dyDescent="0.3">
      <c r="A108" s="2" t="s">
        <v>38</v>
      </c>
      <c r="B108" s="2" t="s">
        <v>16</v>
      </c>
      <c r="C108" s="2" t="s">
        <v>15</v>
      </c>
      <c r="D108" s="5">
        <v>46143</v>
      </c>
      <c r="E108" s="1">
        <v>16.64</v>
      </c>
      <c r="F108" s="1">
        <f t="shared" si="3"/>
        <v>1.6640000000000001</v>
      </c>
      <c r="G108" s="1">
        <f t="shared" si="4"/>
        <v>1.8853120000000001</v>
      </c>
      <c r="H108" s="1">
        <f t="shared" si="5"/>
        <v>13.090688</v>
      </c>
    </row>
    <row r="109" spans="1:8" x14ac:dyDescent="0.3">
      <c r="A109" s="2" t="s">
        <v>38</v>
      </c>
      <c r="B109" s="2" t="s">
        <v>16</v>
      </c>
      <c r="C109" s="2" t="s">
        <v>17</v>
      </c>
      <c r="D109" s="5">
        <v>46143</v>
      </c>
      <c r="E109" s="1">
        <v>1344.79</v>
      </c>
      <c r="F109" s="1">
        <f t="shared" si="3"/>
        <v>134.47900000000001</v>
      </c>
      <c r="G109" s="1">
        <f t="shared" si="4"/>
        <v>152.36470699999998</v>
      </c>
      <c r="H109" s="1">
        <f t="shared" si="5"/>
        <v>1057.946293</v>
      </c>
    </row>
    <row r="110" spans="1:8" x14ac:dyDescent="0.3">
      <c r="A110" s="2" t="s">
        <v>38</v>
      </c>
      <c r="B110" s="2" t="s">
        <v>10</v>
      </c>
      <c r="C110" s="2" t="s">
        <v>9</v>
      </c>
      <c r="D110" s="5">
        <v>46143</v>
      </c>
      <c r="E110" s="1">
        <v>4707.84</v>
      </c>
      <c r="F110" s="1">
        <f t="shared" si="3"/>
        <v>470.78400000000005</v>
      </c>
      <c r="G110" s="1">
        <f t="shared" si="4"/>
        <v>533.39827200000002</v>
      </c>
      <c r="H110" s="1">
        <f t="shared" si="5"/>
        <v>3703.6577280000006</v>
      </c>
    </row>
    <row r="111" spans="1:8" x14ac:dyDescent="0.3">
      <c r="A111" s="2" t="s">
        <v>38</v>
      </c>
      <c r="B111" s="2" t="s">
        <v>7</v>
      </c>
      <c r="C111" s="2" t="s">
        <v>19</v>
      </c>
      <c r="D111" s="5">
        <v>46143</v>
      </c>
      <c r="E111" s="1">
        <v>781.44</v>
      </c>
      <c r="F111" s="1">
        <f t="shared" si="3"/>
        <v>78.144000000000005</v>
      </c>
      <c r="G111" s="1">
        <f t="shared" si="4"/>
        <v>88.537152000000006</v>
      </c>
      <c r="H111" s="1">
        <f t="shared" si="5"/>
        <v>614.75884800000006</v>
      </c>
    </row>
    <row r="112" spans="1:8" x14ac:dyDescent="0.3">
      <c r="A112" s="2" t="s">
        <v>38</v>
      </c>
      <c r="B112" s="2" t="s">
        <v>7</v>
      </c>
      <c r="C112" s="2" t="s">
        <v>17</v>
      </c>
      <c r="D112" s="5">
        <v>46143</v>
      </c>
      <c r="E112" s="1">
        <v>924.36</v>
      </c>
      <c r="F112" s="1">
        <f t="shared" si="3"/>
        <v>92.436000000000007</v>
      </c>
      <c r="G112" s="1">
        <f t="shared" si="4"/>
        <v>104.72998800000001</v>
      </c>
      <c r="H112" s="1">
        <f t="shared" si="5"/>
        <v>727.19401199999993</v>
      </c>
    </row>
    <row r="113" spans="1:8" x14ac:dyDescent="0.3">
      <c r="A113" s="2" t="s">
        <v>38</v>
      </c>
      <c r="B113" s="2" t="s">
        <v>7</v>
      </c>
      <c r="C113" s="2" t="s">
        <v>37</v>
      </c>
      <c r="D113" s="5">
        <v>46143</v>
      </c>
      <c r="E113" s="1">
        <v>3189.22</v>
      </c>
      <c r="F113" s="1">
        <f t="shared" si="3"/>
        <v>318.92200000000003</v>
      </c>
      <c r="G113" s="1">
        <f t="shared" si="4"/>
        <v>361.33862599999998</v>
      </c>
      <c r="H113" s="1">
        <f t="shared" si="5"/>
        <v>2508.959374</v>
      </c>
    </row>
    <row r="114" spans="1:8" x14ac:dyDescent="0.3">
      <c r="A114" s="2" t="s">
        <v>2</v>
      </c>
      <c r="B114" s="2" t="s">
        <v>2</v>
      </c>
      <c r="C114" s="2" t="s">
        <v>5</v>
      </c>
      <c r="D114" s="5">
        <v>46143</v>
      </c>
      <c r="E114" s="1">
        <v>3253.14</v>
      </c>
      <c r="F114" s="1">
        <f t="shared" si="3"/>
        <v>325.31400000000002</v>
      </c>
      <c r="G114" s="1">
        <f t="shared" si="4"/>
        <v>368.58076199999999</v>
      </c>
      <c r="H114" s="1">
        <f t="shared" si="5"/>
        <v>2559.245238</v>
      </c>
    </row>
    <row r="115" spans="1:8" x14ac:dyDescent="0.3">
      <c r="A115" s="2" t="s">
        <v>2</v>
      </c>
      <c r="B115" s="2" t="s">
        <v>2</v>
      </c>
      <c r="C115" s="2" t="s">
        <v>4</v>
      </c>
      <c r="D115" s="5">
        <v>46143</v>
      </c>
      <c r="E115" s="1">
        <v>8568.9599999999991</v>
      </c>
      <c r="F115" s="1">
        <f t="shared" si="3"/>
        <v>856.89599999999996</v>
      </c>
      <c r="G115" s="1">
        <f t="shared" si="4"/>
        <v>970.86316799999986</v>
      </c>
      <c r="H115" s="1">
        <f t="shared" si="5"/>
        <v>6741.2008319999995</v>
      </c>
    </row>
    <row r="116" spans="1:8" x14ac:dyDescent="0.3">
      <c r="A116" s="2" t="s">
        <v>2</v>
      </c>
      <c r="B116" s="2" t="s">
        <v>2</v>
      </c>
      <c r="C116" s="2" t="s">
        <v>3</v>
      </c>
      <c r="D116" s="5">
        <v>46143</v>
      </c>
      <c r="E116" s="1">
        <v>5517.12</v>
      </c>
      <c r="F116" s="1">
        <f t="shared" si="3"/>
        <v>551.71199999999999</v>
      </c>
      <c r="G116" s="1">
        <f t="shared" si="4"/>
        <v>625.089696</v>
      </c>
      <c r="H116" s="1">
        <f t="shared" si="5"/>
        <v>4340.3183039999994</v>
      </c>
    </row>
    <row r="117" spans="1:8" x14ac:dyDescent="0.3">
      <c r="A117" s="2" t="s">
        <v>2</v>
      </c>
      <c r="B117" s="2" t="s">
        <v>2</v>
      </c>
      <c r="C117" s="2" t="s">
        <v>0</v>
      </c>
      <c r="D117" s="5">
        <v>46143</v>
      </c>
      <c r="E117" s="1">
        <v>5051.72</v>
      </c>
      <c r="F117" s="1">
        <f t="shared" si="3"/>
        <v>505.17200000000003</v>
      </c>
      <c r="G117" s="1">
        <f t="shared" si="4"/>
        <v>572.35987599999999</v>
      </c>
      <c r="H117" s="1">
        <f t="shared" si="5"/>
        <v>3974.1881240000007</v>
      </c>
    </row>
    <row r="118" spans="1:8" x14ac:dyDescent="0.3">
      <c r="A118" s="2" t="s">
        <v>38</v>
      </c>
      <c r="B118" s="2" t="s">
        <v>27</v>
      </c>
      <c r="C118" s="2" t="s">
        <v>26</v>
      </c>
      <c r="D118" s="5">
        <v>46174</v>
      </c>
      <c r="E118" s="1">
        <v>715</v>
      </c>
      <c r="F118" s="1">
        <f t="shared" si="3"/>
        <v>71.5</v>
      </c>
      <c r="G118" s="1">
        <f t="shared" si="4"/>
        <v>81.009500000000003</v>
      </c>
      <c r="H118" s="1">
        <f t="shared" si="5"/>
        <v>562.4905</v>
      </c>
    </row>
    <row r="119" spans="1:8" x14ac:dyDescent="0.3">
      <c r="A119" s="2" t="s">
        <v>38</v>
      </c>
      <c r="B119" s="2" t="s">
        <v>25</v>
      </c>
      <c r="C119" s="2" t="s">
        <v>24</v>
      </c>
      <c r="D119" s="5">
        <v>46174</v>
      </c>
      <c r="E119" s="1">
        <v>4443.5200000000004</v>
      </c>
      <c r="F119" s="1">
        <f t="shared" si="3"/>
        <v>444.35200000000009</v>
      </c>
      <c r="G119" s="1">
        <f t="shared" si="4"/>
        <v>503.45081600000003</v>
      </c>
      <c r="H119" s="1">
        <f t="shared" si="5"/>
        <v>3495.7171840000005</v>
      </c>
    </row>
    <row r="120" spans="1:8" x14ac:dyDescent="0.3">
      <c r="A120" s="2" t="s">
        <v>38</v>
      </c>
      <c r="B120" s="2" t="s">
        <v>21</v>
      </c>
      <c r="C120" s="2" t="s">
        <v>41</v>
      </c>
      <c r="D120" s="5">
        <v>46174</v>
      </c>
      <c r="E120" s="1">
        <v>167.04</v>
      </c>
      <c r="F120" s="1">
        <f t="shared" si="3"/>
        <v>16.704000000000001</v>
      </c>
      <c r="G120" s="1">
        <f t="shared" si="4"/>
        <v>18.925632</v>
      </c>
      <c r="H120" s="1">
        <f t="shared" si="5"/>
        <v>131.41036799999998</v>
      </c>
    </row>
    <row r="121" spans="1:8" x14ac:dyDescent="0.3">
      <c r="A121" s="2" t="s">
        <v>38</v>
      </c>
      <c r="B121" s="2" t="s">
        <v>21</v>
      </c>
      <c r="C121" s="2" t="s">
        <v>40</v>
      </c>
      <c r="D121" s="5">
        <v>46174</v>
      </c>
      <c r="E121" s="1">
        <v>5719.68</v>
      </c>
      <c r="F121" s="1">
        <f t="shared" si="3"/>
        <v>571.96800000000007</v>
      </c>
      <c r="G121" s="1">
        <f t="shared" si="4"/>
        <v>648.03974400000004</v>
      </c>
      <c r="H121" s="1">
        <f t="shared" si="5"/>
        <v>4499.6722560000007</v>
      </c>
    </row>
    <row r="122" spans="1:8" x14ac:dyDescent="0.3">
      <c r="A122" s="2" t="s">
        <v>38</v>
      </c>
      <c r="B122" s="2" t="s">
        <v>21</v>
      </c>
      <c r="C122" s="2" t="s">
        <v>42</v>
      </c>
      <c r="D122" s="5">
        <v>46174</v>
      </c>
      <c r="E122" s="1">
        <v>160.63999999999999</v>
      </c>
      <c r="F122" s="1">
        <f t="shared" si="3"/>
        <v>16.064</v>
      </c>
      <c r="G122" s="1">
        <f t="shared" si="4"/>
        <v>18.200512</v>
      </c>
      <c r="H122" s="1">
        <f t="shared" si="5"/>
        <v>126.37548799999999</v>
      </c>
    </row>
    <row r="123" spans="1:8" x14ac:dyDescent="0.3">
      <c r="A123" s="2" t="s">
        <v>38</v>
      </c>
      <c r="B123" s="2" t="s">
        <v>16</v>
      </c>
      <c r="C123" s="2" t="s">
        <v>19</v>
      </c>
      <c r="D123" s="5">
        <v>46174</v>
      </c>
      <c r="E123" s="1">
        <v>2178.14</v>
      </c>
      <c r="F123" s="1">
        <f t="shared" si="3"/>
        <v>217.81399999999999</v>
      </c>
      <c r="G123" s="1">
        <f t="shared" si="4"/>
        <v>246.78326199999998</v>
      </c>
      <c r="H123" s="1">
        <f t="shared" si="5"/>
        <v>1713.5427379999999</v>
      </c>
    </row>
    <row r="124" spans="1:8" x14ac:dyDescent="0.3">
      <c r="A124" s="2" t="s">
        <v>38</v>
      </c>
      <c r="B124" s="2" t="s">
        <v>16</v>
      </c>
      <c r="C124" s="2" t="s">
        <v>15</v>
      </c>
      <c r="D124" s="5">
        <v>46174</v>
      </c>
      <c r="E124" s="1">
        <v>124.8</v>
      </c>
      <c r="F124" s="1">
        <f t="shared" si="3"/>
        <v>12.48</v>
      </c>
      <c r="G124" s="1">
        <f t="shared" si="4"/>
        <v>14.13984</v>
      </c>
      <c r="H124" s="1">
        <f t="shared" si="5"/>
        <v>98.180160000000001</v>
      </c>
    </row>
    <row r="125" spans="1:8" x14ac:dyDescent="0.3">
      <c r="A125" s="2" t="s">
        <v>38</v>
      </c>
      <c r="B125" s="2" t="s">
        <v>16</v>
      </c>
      <c r="C125" s="2" t="s">
        <v>17</v>
      </c>
      <c r="D125" s="5">
        <v>46174</v>
      </c>
      <c r="E125" s="1">
        <v>925.02</v>
      </c>
      <c r="F125" s="1">
        <f t="shared" si="3"/>
        <v>92.50200000000001</v>
      </c>
      <c r="G125" s="1">
        <f t="shared" si="4"/>
        <v>104.804766</v>
      </c>
      <c r="H125" s="1">
        <f t="shared" si="5"/>
        <v>727.71323400000006</v>
      </c>
    </row>
    <row r="126" spans="1:8" x14ac:dyDescent="0.3">
      <c r="A126" s="2" t="s">
        <v>38</v>
      </c>
      <c r="B126" s="2" t="s">
        <v>10</v>
      </c>
      <c r="C126" s="2" t="s">
        <v>9</v>
      </c>
      <c r="D126" s="5">
        <v>46174</v>
      </c>
      <c r="E126" s="1">
        <v>1246.72</v>
      </c>
      <c r="F126" s="1">
        <f t="shared" si="3"/>
        <v>124.67200000000001</v>
      </c>
      <c r="G126" s="1">
        <f t="shared" si="4"/>
        <v>141.253376</v>
      </c>
      <c r="H126" s="1">
        <f t="shared" si="5"/>
        <v>980.794624</v>
      </c>
    </row>
    <row r="127" spans="1:8" x14ac:dyDescent="0.3">
      <c r="A127" s="2" t="s">
        <v>38</v>
      </c>
      <c r="B127" s="2" t="s">
        <v>7</v>
      </c>
      <c r="C127" s="2" t="s">
        <v>19</v>
      </c>
      <c r="D127" s="5">
        <v>46174</v>
      </c>
      <c r="E127" s="1">
        <v>0</v>
      </c>
      <c r="F127" s="1">
        <f t="shared" si="3"/>
        <v>0</v>
      </c>
      <c r="G127" s="1">
        <f t="shared" si="4"/>
        <v>0</v>
      </c>
      <c r="H127" s="1">
        <f t="shared" si="5"/>
        <v>0</v>
      </c>
    </row>
    <row r="128" spans="1:8" x14ac:dyDescent="0.3">
      <c r="A128" s="2" t="s">
        <v>38</v>
      </c>
      <c r="B128" s="2" t="s">
        <v>7</v>
      </c>
      <c r="C128" s="2" t="s">
        <v>17</v>
      </c>
      <c r="D128" s="5">
        <v>46174</v>
      </c>
      <c r="E128" s="1">
        <v>660.99</v>
      </c>
      <c r="F128" s="1">
        <f t="shared" si="3"/>
        <v>66.099000000000004</v>
      </c>
      <c r="G128" s="1">
        <f t="shared" si="4"/>
        <v>74.890167000000005</v>
      </c>
      <c r="H128" s="1">
        <f t="shared" si="5"/>
        <v>520.00083299999994</v>
      </c>
    </row>
    <row r="129" spans="1:8" x14ac:dyDescent="0.3">
      <c r="A129" s="2" t="s">
        <v>2</v>
      </c>
      <c r="B129" s="2" t="s">
        <v>2</v>
      </c>
      <c r="C129" s="2" t="s">
        <v>5</v>
      </c>
      <c r="D129" s="5">
        <v>46174</v>
      </c>
      <c r="E129" s="1">
        <v>3158.76</v>
      </c>
      <c r="F129" s="1">
        <f t="shared" si="3"/>
        <v>315.87600000000003</v>
      </c>
      <c r="G129" s="1">
        <f t="shared" si="4"/>
        <v>357.88750800000003</v>
      </c>
      <c r="H129" s="1">
        <f t="shared" si="5"/>
        <v>2484.9964920000002</v>
      </c>
    </row>
    <row r="130" spans="1:8" x14ac:dyDescent="0.3">
      <c r="A130" s="2" t="s">
        <v>2</v>
      </c>
      <c r="B130" s="2" t="s">
        <v>2</v>
      </c>
      <c r="C130" s="2" t="s">
        <v>4</v>
      </c>
      <c r="D130" s="5">
        <v>46174</v>
      </c>
      <c r="E130" s="1">
        <v>9151.36</v>
      </c>
      <c r="F130" s="1">
        <f t="shared" si="3"/>
        <v>915.13600000000008</v>
      </c>
      <c r="G130" s="1">
        <f t="shared" si="4"/>
        <v>1036.8490879999999</v>
      </c>
      <c r="H130" s="1">
        <f t="shared" si="5"/>
        <v>7199.3749120000002</v>
      </c>
    </row>
    <row r="131" spans="1:8" x14ac:dyDescent="0.3">
      <c r="A131" s="2" t="s">
        <v>2</v>
      </c>
      <c r="B131" s="2" t="s">
        <v>2</v>
      </c>
      <c r="C131" s="2" t="s">
        <v>3</v>
      </c>
      <c r="D131" s="5">
        <v>46174</v>
      </c>
      <c r="E131" s="1">
        <v>7304.64</v>
      </c>
      <c r="F131" s="1">
        <f t="shared" si="3"/>
        <v>730.46400000000006</v>
      </c>
      <c r="G131" s="1">
        <f t="shared" si="4"/>
        <v>827.61571200000003</v>
      </c>
      <c r="H131" s="1">
        <f t="shared" si="5"/>
        <v>5746.5602880000006</v>
      </c>
    </row>
    <row r="132" spans="1:8" x14ac:dyDescent="0.3">
      <c r="A132" s="2" t="s">
        <v>2</v>
      </c>
      <c r="B132" s="2" t="s">
        <v>2</v>
      </c>
      <c r="C132" s="2" t="s">
        <v>0</v>
      </c>
      <c r="D132" s="5">
        <v>46174</v>
      </c>
      <c r="E132" s="1">
        <v>5308.76</v>
      </c>
      <c r="F132" s="1">
        <f t="shared" ref="F132:F133" si="6">E132*0.1</f>
        <v>530.87600000000009</v>
      </c>
      <c r="G132" s="1">
        <f t="shared" ref="G132:G133" si="7">E132*0.1133</f>
        <v>601.48250800000005</v>
      </c>
      <c r="H132" s="1">
        <f t="shared" ref="H132:H133" si="8">E132-F132-G132</f>
        <v>4176.401492</v>
      </c>
    </row>
    <row r="133" spans="1:8" x14ac:dyDescent="0.3">
      <c r="A133" s="2" t="s">
        <v>38</v>
      </c>
      <c r="B133" s="2" t="s">
        <v>43</v>
      </c>
      <c r="C133" s="2" t="s">
        <v>36</v>
      </c>
      <c r="D133" s="5">
        <v>46174</v>
      </c>
      <c r="E133" s="1">
        <v>1958.7</v>
      </c>
      <c r="F133" s="1">
        <f t="shared" si="6"/>
        <v>195.87</v>
      </c>
      <c r="G133" s="1">
        <f t="shared" si="7"/>
        <v>221.92071000000001</v>
      </c>
      <c r="H133" s="1">
        <f t="shared" si="8"/>
        <v>1540.9092899999998</v>
      </c>
    </row>
    <row r="152" hidden="1" x14ac:dyDescent="0.3"/>
  </sheetData>
  <autoFilter ref="A1:H117" xr:uid="{EA5D708C-AB31-473E-9B9D-79F5ACDE382B}">
    <filterColumn colId="3">
      <filters>
        <dateGroupItem year="2026" month="5" dateTimeGrouping="month"/>
        <dateGroupItem year="2025" dateTimeGrouping="year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2026-08-18T19:34:34Z</dcterms:modified>
</cp:coreProperties>
</file>