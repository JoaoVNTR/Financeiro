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34" documentId="13_ncr:1_{D991FB55-A98B-4966-87EA-837A1BBDE054}" xr6:coauthVersionLast="47" xr6:coauthVersionMax="47" xr10:uidLastSave="{235BDD39-45A8-432A-82E0-0ABA90E07268}"/>
  <bookViews>
    <workbookView xWindow="-28920" yWindow="-3915" windowWidth="29040" windowHeight="15720" activeTab="3" xr2:uid="{00000000-000D-0000-FFFF-FFFF00000000}"/>
  </bookViews>
  <sheets>
    <sheet name="FATURAMENTO Á RECEBER" sheetId="1" r:id="rId1"/>
    <sheet name="REPASSE" sheetId="3" r:id="rId2"/>
    <sheet name="ORG. GRAF" sheetId="4" r:id="rId3"/>
    <sheet name="DASHBOARD" sheetId="5" r:id="rId4"/>
  </sheets>
  <definedNames>
    <definedName name="_xlnm._FilterDatabase" localSheetId="0" hidden="1">'FATURAMENTO Á RECEBER'!$A$1:$G$246</definedName>
    <definedName name="_xlnm._FilterDatabase" localSheetId="1" hidden="1">REPASSE!$A$1:$H$1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" l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<sst xmlns="http://schemas.openxmlformats.org/spreadsheetml/2006/main" count="1097" uniqueCount="192">
  <si>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</si>
  <si>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</si>
  <si>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</si>
  <si>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</si>
  <si>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</si>
  <si>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</si>
  <si>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</si>
  <si>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</si>
  <si>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</si>
  <si>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</si>
  <si>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</si>
  <si>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</si>
  <si>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</si>
  <si>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</si>
  <si>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</si>
  <si>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</si>
  <si>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</si>
  <si>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</si>
  <si>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</si>
  <si>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</si>
  <si>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</si>
  <si>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</si>
  <si>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</si>
  <si>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</si>
  <si>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</si>
  <si>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</si>
  <si>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</si>
  <si>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</si>
  <si>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</si>
  <si>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</si>
  <si>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</si>
  <si>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</si>
  <si>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</si>
  <si>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</si>
  <si>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</si>
  <si>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</si>
  <si>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</si>
  <si>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</si>
  <si>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</si>
  <si>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</si>
  <si>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</si>
  <si>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</si>
  <si>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</si>
  <si>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</si>
  <si>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</si>
  <si>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</si>
  <si>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</si>
  <si>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</si>
  <si>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</si>
  <si>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</si>
  <si>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</si>
  <si>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</si>
  <si>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</si>
  <si>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</si>
  <si>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</si>
  <si>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</si>
  <si>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</si>
  <si>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</si>
  <si>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</si>
  <si>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</si>
  <si>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</si>
  <si>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</si>
  <si>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</si>
  <si>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</si>
  <si>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</si>
  <si>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</si>
  <si>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</si>
  <si>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</si>
  <si>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</si>
  <si>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</si>
  <si>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</si>
  <si>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</si>
  <si>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</si>
  <si>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</si>
  <si>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</si>
  <si>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</si>
  <si>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</si>
  <si>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</si>
  <si>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</si>
  <si>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</si>
  <si>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</si>
  <si>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</si>
  <si>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</si>
  <si>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</si>
  <si>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</si>
  <si>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</si>
  <si>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</si>
  <si>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</si>
  <si>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</si>
  <si>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</si>
  <si>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</si>
  <si>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</si>
  <si>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</si>
  <si>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</si>
  <si>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</si>
  <si>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</si>
  <si>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</si>
  <si>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</si>
  <si>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</si>
  <si>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</si>
  <si>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</si>
  <si>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</si>
  <si>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</si>
  <si>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</si>
  <si>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</si>
  <si>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</si>
  <si>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</si>
  <si>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</si>
  <si>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</si>
  <si>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</si>
  <si>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</si>
  <si>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</si>
  <si>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</si>
  <si>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</si>
  <si>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</si>
  <si>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</si>
  <si>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</si>
  <si>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</si>
  <si>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</si>
  <si>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</si>
  <si>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</si>
  <si>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</si>
  <si>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</si>
  <si>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</si>
  <si>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</si>
  <si>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</si>
  <si>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</si>
  <si>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</si>
  <si>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</si>
  <si>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</si>
  <si>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</si>
  <si>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</si>
  <si>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</si>
  <si>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</si>
  <si>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</si>
  <si>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</si>
  <si>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</si>
  <si>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</si>
  <si>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</si>
  <si>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</si>
  <si>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</si>
  <si>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</si>
  <si>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</si>
  <si>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</si>
  <si>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</si>
  <si>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</si>
  <si>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</si>
  <si>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</si>
  <si>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NOVEMBRO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</si>
  <si>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</si>
  <si>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</si>
  <si>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</si>
  <si>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</si>
  <si>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</si>
  <si>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</si>
  <si>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</si>
  <si>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</si>
  <si>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</si>
  <si>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</si>
  <si>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</si>
  <si>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</si>
  <si>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</si>
  <si>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Rótulos de Linha</t>
  </si>
  <si>
    <t>Soma de Valor a Pagar para Gerador (R$)</t>
  </si>
  <si>
    <t>Soma de Valor da Gestão (R$)</t>
  </si>
  <si>
    <t>GERADOR</t>
  </si>
  <si>
    <t>USINA</t>
  </si>
  <si>
    <t>CLIENTE FINAL</t>
  </si>
  <si>
    <t>MÊS DE COMPETÊNCIA</t>
  </si>
  <si>
    <t>FATURAMENTO 
CLIENTE FINAL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</si>
  <si>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</si>
  <si>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</si>
  <si>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</si>
  <si>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</si>
  <si>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</si>
  <si>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</si>
  <si>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</si>
  <si>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</si>
  <si>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</si>
  <si>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</si>
  <si>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</si>
  <si>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</si>
  <si>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</si>
  <si>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</si>
  <si>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</si>
  <si>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</si>
  <si>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</si>
  <si>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</si>
  <si>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</si>
  <si>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</si>
  <si>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</si>
  <si>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>Dashboard de 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</si>
</sst>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8"/>
      <color rgb="FFFFB54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0" fillId="0" borderId="0" xfId="0" applyNumberFormat="1"/>
    <xf numFmtId="0" fontId="0" fillId="3" borderId="0" xfId="0" applyNumberFormat="1" applyFill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5" borderId="0" xfId="0" applyNumberFormat="1" applyFont="1" applyFill="1" applyAlignment="1">
      <alignment horizontal="center" vertical="center"/>
    </xf>
    <xf numFmtId="44" fontId="2" fillId="5" borderId="0" xfId="1" applyFont="1" applyFill="1" applyAlignment="1">
      <alignment horizontal="center" vertical="center"/>
    </xf>
    <xf numFmtId="10" fontId="2" fillId="5" borderId="0" xfId="0" applyNumberFormat="1" applyFont="1" applyFill="1" applyAlignment="1">
      <alignment horizontal="center" vertical="center"/>
    </xf>
    <xf numFmtId="0" fontId="0" fillId="5" borderId="0" xfId="0" applyFill="1"/>
    <xf numFmtId="0" fontId="3" fillId="5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392429</xdr:colOff>
      <xdr:row>1</xdr:row>
      <xdr:rowOff>78106</xdr:rowOff>
    </xdr:from>
    <xdr:to>
      <xdr:col>5</xdr:col>
      <xdr:colOff>196215</xdr:colOff>
      <xdr:row>5</xdr:row>
      <xdr:rowOff>133975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35A5C27-E00A-4FB7-AA3D-7AE2CA8CD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2429" y="259081"/>
          <a:ext cx="2851786" cy="106551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otebook" refreshedDate="46049.656656597224" createdVersion="7" refreshedVersion="7" minRefreshableVersion="3" recordCount="245" xr:uid="{AF3C71DA-463D-49DD-8A61-8133C4D771B8}">
  <cacheSource type="worksheet">
    <worksheetSource ref="A1:G246" sheet="FATURAMENTO Á RECEBER"/>
  </cacheSource>
  <cacheFields count="7">
    <cacheField name="Gerador" numFmtId="0">
      <sharedItems count="9">
        <s v="FAZENDA IPU TIJUCA "/>
        <s v="SUNCE  "/>
        <s v="TRAJANO SOLAR "/>
        <s v="SOLARE ENERGIA "/>
        <s v="SATIER "/>
        <s v="MAV ENERGIA "/>
        <s v="SUNTEB GESTÃO "/>
        <s v="CYCLO ENERGY"/>
        <s v="ÁGIOS ENERGIA"/>
      </sharedItems>
    </cacheField>
    <cacheField name="Usina" numFmtId="0">
      <sharedItems count="17">
        <s v="ALEX USINA PEQUENA "/>
        <s v="ALEX USINA GRANDE "/>
        <s v="LUAN MACHADO "/>
        <s v="MERC. LADEIRA GRANDE "/>
        <s v="CEPECE4/ IPU (SETEMBRO)"/>
        <s v="CEPECE 05"/>
        <s v="GUARARAPES"/>
        <s v="SUNCE"/>
        <s v="TRAJANO SOLAR"/>
        <s v="ITERU "/>
        <s v="MSAFE"/>
        <s v="GOLD "/>
        <s v="SATIER"/>
        <s v="MAV ENERGIA"/>
        <s v="SUNTEB GESTÃO"/>
        <s v="CYCLO ENERGY"/>
        <s v="ÁGIOS ENERGIA"/>
      </sharedItems>
    </cacheField>
    <cacheField name="Cliente Final" numFmtId="0">
      <sharedItems count="129">
        <s v="POLE ALIMENTOS "/>
        <s v="SANTA CLARA"/>
        <s v="ATL. OBERDAN (MUDOU RATEIO)"/>
        <s v="ATL. PACATUBA"/>
        <s v="ATL. MANUT FGO"/>
        <s v="ATL. CALIFORNIA"/>
        <s v="ATL. DERCIO 1"/>
        <s v="ATL. PACATUBA (MUDOU RATEIO)"/>
        <s v="ATL VARJOTA 01"/>
        <s v="ATL SANTA RITA "/>
        <s v="ATL SUINO SÃO GON 1"/>
        <s v="ATL FÁTIMA 3"/>
        <s v="ATL. OBERDAN"/>
        <s v="CRISTAL AGROPECUARIA"/>
        <s v="REGINA (YPIOCA) "/>
        <s v="VIGNOLI - DESEM LEITE ALB."/>
        <s v="VIGNOLI- JOAQUIM NAB"/>
        <s v="COND ED MAISON KARINE "/>
        <s v="RMA - BEIRA MAR (LOJA)"/>
        <s v="RMA - FLORES"/>
        <s v="RMA - PARANGABA"/>
        <s v="RMA - BM ( QUIOSQUE)"/>
        <s v="RMA - EUSEBIO "/>
        <s v="VIGNOLI  - BEIRA MAR "/>
        <s v="VIGNOLI  - SANTOS DUMONT"/>
        <s v="VIGNOLI  - JONAS IDELFONSO"/>
        <s v="VIGNOLI  - JULIO IBIAPINA  "/>
        <s v="VIGNOLI  - SILVIA JATHY"/>
        <s v="VIVA ZOE - M. TOMASIA"/>
        <s v="VIVA ZOE - TORRES CAMARA"/>
        <s v="SERGIO FINGER "/>
        <s v="EVERLANE VAZ "/>
        <s v="MANUEL ANDRANDE "/>
        <s v="SG PROPAG"/>
        <s v="FER - ALAN SANKEY- (64514639)"/>
        <s v="FER ALAN SANKEY - (64514679)"/>
        <s v="FER ALAN SANKEY  - (64514813)"/>
        <s v="FER ALAN SANKEY -  (64515140)"/>
        <s v="FERROVIA - ALINE "/>
        <s v="FERROVIA - EVELMA "/>
        <s v="FERROVIA  - LEILA 01 "/>
        <s v="FERROVIA  - LEILA 02"/>
        <s v="LUIZ CAVALCANTE 01"/>
        <s v="LUIZ CAVALCANTE 02"/>
        <s v="ATL.ANTICA VARJOTA"/>
        <s v="ATL.ANTICA TAMARITA"/>
        <s v="ATL.ANTICA SANTA RITA"/>
        <s v="ATL.ANTICA PARACURU 02"/>
        <s v="ATL.ANTICA JOQUEY"/>
        <s v="ATL.ANTICA EXP. CARIRI"/>
        <s v="ATL.ANTICA CASARÃO"/>
        <s v="ATL.ANTICA CANAVIEIRA"/>
        <s v=" (SUINO SÃO GONÇALO 1)"/>
        <s v="ATL (SUINO SÃO GONÇALO 2)"/>
        <s v="ATL.ANTICA CAMP 1"/>
        <s v="ATL FATIMA 3 - FLORES"/>
        <s v="FATIMA 3"/>
        <s v="ATL (SUINO SÃO BENEDITO)"/>
        <s v="ATL.ANTICA VARJOTA 3"/>
        <s v="POSTO SANTA CECILIA "/>
        <s v="ATL.ANTICA SOL NASCENTE "/>
        <s v="ATL.ANTICA PARACURU "/>
        <s v="ATL.ANTICA PARACURU 2"/>
        <s v="ATL.ANTICA PARACURU 1"/>
        <s v="NILO DOURADO "/>
        <s v="MANUT FRANGO 2"/>
        <s v="ATL.ANTICA GRÁUNA"/>
        <s v="ATL.ANTICA VARJOTA 2"/>
        <s v="FOGO 36 - FRED BORGES 185"/>
        <s v="FOGO 36 - FREI MANSUETO 746"/>
        <s v="CORTILLE - UC - 60857369"/>
        <s v="CORTILLE - UC - 60914118"/>
        <s v="CORTILLE - UC - 60857316"/>
        <s v="CORTILLE - VIC LEITE 523"/>
        <s v="OFICÍNA DE EVENTOS - SALA B"/>
        <s v="OFICÍNA DE EVENTOS -2257"/>
        <s v="BABBI -  UC 60906548"/>
        <s v="BABBI UC - 60909661"/>
        <s v="COND.SONETO - UC  60923658"/>
        <s v="LA RESERVE "/>
        <s v="ROSSANO"/>
        <s v="PADARIA"/>
        <s v="JOSÉ MARIA "/>
        <s v="CLETO ROCHA ( alberto magno)"/>
        <s v="CLETO ROCHA ( Rui barbosa)"/>
        <s v="NEIDE DA SILVA ( DISTRATO)"/>
        <s v="MAYLA - NEIDE (DISTRATO)"/>
        <s v="COND SAN JULIANO"/>
        <s v="NOBBYS FARDAMENTOS "/>
        <s v="MIO CAFÉ (DISTRATO)"/>
        <s v="RMA- ÚLTIMA SATIER"/>
        <s v="RIOS E FROTA "/>
        <s v="RAPHAEL RAMON ( ENCERRADO)"/>
        <s v="COND.START CITY BL 01"/>
        <s v="COND.START CITY BL 02"/>
        <s v="ED. PORTA DAS MARES "/>
        <s v="REG ALIM|  REG 1 PIND."/>
        <s v="REG ALIM| REG 2 PIND."/>
        <s v="REG ALIM| ANT. CAMÂRA"/>
        <s v="REG ALIM| ANT. CAMÂRA 1."/>
        <s v="REG AGRO| CONVIDA 3"/>
        <s v="REG AGRO| UIRAPURU 2"/>
        <s v="REG AGRO| AVELIMA"/>
        <s v="REG AGRO| UIRAPURU 1"/>
        <s v="REG AGRO| NILO DOURADO"/>
        <s v="REG AGRO| SABIÁ"/>
        <s v="REG AGRO| FRANGO VERDE "/>
        <s v="VIG| JOAQUIM NAB Nº 175"/>
        <s v="VIG| JONAS IDELFONSO Nº 170"/>
        <s v="ATL | RAMADA"/>
        <s v="ATL | MAURITI "/>
        <s v="ATL | ADROALDO "/>
        <s v="ATL |PORTEIRAS "/>
        <s v="ATL | BAIXO ALEGRE "/>
        <s v="ATL | CHOROZINHO "/>
        <s v="ATL | VALE VERDE "/>
        <s v="ATL | ITAREMA "/>
        <s v="COND.ED EAST SIDE "/>
        <s v="MARFRAN 1 "/>
        <s v="MARFRAN 2"/>
        <s v="GREENLIFE A - INICIA JUNHO"/>
        <s v="VIGNOLI "/>
        <s v="SANTA RITA"/>
        <s v="ATL. DERCIO 1 - IPU"/>
        <s v="ATL.ANTICA PARACURU 03"/>
        <s v="ATLAS IMPORTAÇÕES (GD1)"/>
        <s v="EMÍLIO RIBAS - OLIVEIRA PAIVA"/>
        <s v="EMÍLIO RIBAS - RU ITAICABA"/>
        <s v="EMÍLIO RIBAS - BEZERRA DE MENEZES"/>
      </sharedItems>
    </cacheField>
    <cacheField name="Mês de Competência" numFmtId="0">
      <sharedItems count="2">
        <s v="NOVEMBRO"/>
        <s v="DEZEMBRO"/>
      </sharedItems>
    </cacheField>
    <cacheField name="Valor a Pagar para Gerador (R$)" numFmtId="44">
      <sharedItems containsString="0" containsBlank="1" containsNumber="1" minValue="0" maxValue="13760.54" count="224">
        <n v="719.55"/>
        <n v="3411.2"/>
        <n v="0"/>
        <n v="1082.64832"/>
        <n v="1726.95"/>
        <n v="1540.41"/>
        <n v="199.04"/>
        <n v="418.84"/>
        <n v="218.73"/>
        <n v="219.7"/>
        <n v="46.72"/>
        <n v="31.85"/>
        <n v="151.68"/>
        <n v="1828.45"/>
        <n v="5198.8999999999996"/>
        <n v="11686.48"/>
        <n v="2248.5100000000002"/>
        <n v="7392.64"/>
        <n v="6910.72"/>
        <n v="2600.96"/>
        <n v="1721.6"/>
        <n v="1824"/>
        <n v="2100.6"/>
        <n v="2458.88"/>
        <n v="2789.36"/>
        <n v="4679.08"/>
        <n v="2113.02"/>
        <n v="3013.2"/>
        <n v="646.79999999999995"/>
        <n v="532.62"/>
        <n v="519.91999999999996"/>
        <n v="264"/>
        <n v="1372.8"/>
        <n v="1143.1199999999999"/>
        <n v="250.4"/>
        <n v="99.11"/>
        <n v="401.67"/>
        <n v="326.04000000000002"/>
        <n v="261.3"/>
        <n v="404.29"/>
        <n v="605.13"/>
        <n v="633.15"/>
        <n v="1238.44"/>
        <n v="951.06"/>
        <m/>
        <n v="9101.44"/>
        <n v="4949.76"/>
        <n v="6338.56"/>
        <n v="2715.05"/>
        <n v="3175.68"/>
        <n v="6210.56"/>
        <n v="261.47000000000003"/>
        <n v="1418.88"/>
        <n v="3537.92"/>
        <n v="3828.82"/>
        <n v="5204.55"/>
        <n v="5534.1"/>
        <n v="4553.58"/>
        <n v="11651.2"/>
        <n v="4817.92"/>
        <n v="9120.7999999999993"/>
        <n v="3503.72"/>
        <n v="1077.05"/>
        <n v="694.4"/>
        <n v="5792.15"/>
        <n v="613.12"/>
        <n v="5693.44"/>
        <n v="4423.68"/>
        <n v="811.52"/>
        <n v="6256"/>
        <n v="1003.52"/>
        <n v="1112.96"/>
        <n v="5863.04"/>
        <n v="4433.92"/>
        <n v="7269.76"/>
        <n v="5134.1499999999996"/>
        <n v="217.6"/>
        <n v="2311.25"/>
        <n v="289.44"/>
        <n v="2266.38"/>
        <n v="423.9"/>
        <n v="204.68"/>
        <n v="993.06"/>
        <n v="885.6"/>
        <n v="460.08"/>
        <n v="4362.66"/>
        <n v="119.46"/>
        <n v="1359.6"/>
        <n v="624.36"/>
        <n v="5857.38"/>
        <n v="12081.84"/>
        <n v="348.16"/>
        <n v="2118.35"/>
        <n v="3017.95"/>
        <n v="10561.28"/>
        <n v="1683.84"/>
        <n v="1457.39"/>
        <n v="969.2"/>
        <n v="226.56"/>
        <n v="646.38"/>
        <n v="394.2"/>
        <n v="1846.2"/>
        <n v="4475.5200000000004"/>
        <n v="293.52"/>
        <n v="4923.97"/>
        <n v="1840.86"/>
        <n v="10140.799999999999"/>
        <n v="123.55"/>
        <n v="974.7"/>
        <n v="9473.1"/>
        <n v="2930.4"/>
        <n v="6302.08"/>
        <n v="2708.48"/>
        <n v="10157.950000000001"/>
        <n v="5359.76"/>
        <n v="625.29999999999995"/>
        <n v="4282.24"/>
        <n v="4209.28"/>
        <n v="16.899999999999999"/>
        <n v="170.24"/>
        <n v="103.9"/>
        <n v="3385.3"/>
        <n v="2209.35"/>
        <n v="216.45"/>
        <n v="182.4"/>
        <n v="1202.5"/>
        <n v="1301.1199999999999"/>
        <n v="10827.67"/>
        <n v="1972.89"/>
        <n v="6993.28"/>
        <n v="5920.64"/>
        <n v="2229.7600000000002"/>
        <n v="1454.72"/>
        <n v="1762.56"/>
        <n v="1858.14"/>
        <n v="2284.8000000000002"/>
        <n v="2589.44"/>
        <n v="3970.52"/>
        <n v="1874.34"/>
        <n v="3972.24"/>
        <n v="673.86"/>
        <n v="525.36"/>
        <n v="1149.72"/>
        <n v="361.68"/>
        <n v="1538.46"/>
        <n v="1244.0999999999999"/>
        <n v="221.29"/>
        <n v="87.6"/>
        <n v="354.99"/>
        <n v="272.02"/>
        <n v="282.74"/>
        <n v="357.3"/>
        <n v="534.79"/>
        <n v="735.66"/>
        <n v="1094.49"/>
        <n v="1009.19"/>
        <n v="2281.6"/>
        <n v="4554.24"/>
        <n v="5114.88"/>
        <n v="2676.7"/>
        <n v="3339.12"/>
        <n v="2411.52"/>
        <n v="1457.28"/>
        <n v="2136.3200000000002"/>
        <n v="2017.92"/>
        <n v="2946.45"/>
        <n v="3961.98"/>
        <n v="5862.96"/>
        <n v="11147.52"/>
        <n v="4141.4399999999996"/>
        <n v="9165.65"/>
        <n v="3073.6"/>
        <n v="1116.7"/>
        <n v="606.72"/>
        <n v="6490.25"/>
        <n v="636.79999999999995"/>
        <n v="5264"/>
        <n v="4232.32"/>
        <n v="727.04"/>
        <n v="5751.04"/>
        <n v="856.32"/>
        <n v="934.4"/>
        <n v="5598.72"/>
        <n v="4103.68"/>
        <n v="7120.64"/>
        <n v="4696.79"/>
        <n v="250.92"/>
        <n v="2305.63"/>
        <n v="349.38"/>
        <n v="2183.7600000000002"/>
        <n v="348.84"/>
        <n v="1008.18"/>
        <n v="753.3"/>
        <n v="4191.4799999999996"/>
        <n v="1318.02"/>
        <n v="547.14"/>
        <n v="5358.42"/>
        <n v="13760.54"/>
        <n v="359.04"/>
        <n v="8692.35"/>
        <n v="1257.0999999999999"/>
        <n v="5552"/>
        <n v="2752.64"/>
        <n v="4079.61"/>
        <n v="2874.88"/>
        <n v="199.68"/>
        <n v="3939.3"/>
        <n v="3676.86"/>
        <n v="1674.16"/>
        <n v="4469.04"/>
        <n v="212.52"/>
        <n v="1724.76"/>
        <n v="2077.38"/>
        <n v="3666.56"/>
        <n v="169.04"/>
        <n v="3659.58"/>
        <n v="6730.75"/>
        <n v="2997.06"/>
        <n v="6286.08"/>
        <n v="2812.8"/>
        <n v="8613.02"/>
        <n v="3396.6"/>
        <n v="1936.44"/>
        <n v="3802.64"/>
      </sharedItems>
    </cacheField>
    <cacheField name="% Gestão" numFmtId="10">
      <sharedItems containsSemiMixedTypes="0" containsString="0" containsNumber="1" minValue="0.05" maxValue="0.1"/>
    </cacheField>
    <cacheField name="Valor da Gestão (R$)" numFmtId="44">
      <sharedItems containsSemiMixedTypes="0" containsString="0" containsNumber="1" minValue="0" maxValue="1376.0540000000001" count="222">
        <n v="71.954999999999998"/>
        <n v="341.12"/>
        <n v="0"/>
        <n v="108.26483200000001"/>
        <n v="172.69500000000002"/>
        <n v="154.04100000000003"/>
        <n v="19.904"/>
        <n v="41.884"/>
        <n v="21.873000000000001"/>
        <n v="21.97"/>
        <n v="4.6719999999999997"/>
        <n v="3.1850000000000005"/>
        <n v="15.168000000000001"/>
        <n v="182.84500000000003"/>
        <n v="519.89"/>
        <n v="1168.6479999999999"/>
        <n v="224.85100000000003"/>
        <n v="591.41120000000001"/>
        <n v="552.85760000000005"/>
        <n v="208.07680000000002"/>
        <n v="137.72800000000001"/>
        <n v="145.92000000000002"/>
        <n v="168.048"/>
        <n v="196.71040000000002"/>
        <n v="223.14880000000002"/>
        <n v="374.32639999999998"/>
        <n v="169.04159999999999"/>
        <n v="241.05599999999998"/>
        <n v="51.744"/>
        <n v="42.6096"/>
        <n v="41.593599999999995"/>
        <n v="21.12"/>
        <n v="109.824"/>
        <n v="91.44959999999999"/>
        <n v="20.032"/>
        <n v="7.9287999999999998"/>
        <n v="32.133600000000001"/>
        <n v="26.083200000000001"/>
        <n v="20.904"/>
        <n v="32.343200000000003"/>
        <n v="48.410400000000003"/>
        <n v="50.652000000000001"/>
        <n v="99.075200000000009"/>
        <n v="76.084800000000001"/>
        <n v="455.07200000000006"/>
        <n v="247.48800000000003"/>
        <n v="316.92800000000005"/>
        <n v="135.75250000000003"/>
        <n v="158.78399999999999"/>
        <n v="310.52800000000002"/>
        <n v="13.073500000000003"/>
        <n v="70.944000000000003"/>
        <n v="176.89600000000002"/>
        <n v="191.44100000000003"/>
        <n v="260.22750000000002"/>
        <n v="276.70500000000004"/>
        <n v="227.679"/>
        <n v="582.56000000000006"/>
        <n v="240.89600000000002"/>
        <n v="456.03999999999996"/>
        <n v="175.18600000000001"/>
        <n v="53.852499999999999"/>
        <n v="34.72"/>
        <n v="289.60750000000002"/>
        <n v="30.656000000000002"/>
        <n v="284.67199999999997"/>
        <n v="221.18400000000003"/>
        <n v="40.576000000000001"/>
        <n v="312.8"/>
        <n v="50.176000000000002"/>
        <n v="55.648000000000003"/>
        <n v="293.15199999999999"/>
        <n v="221.69600000000003"/>
        <n v="363.48800000000006"/>
        <n v="513.41499999999996"/>
        <n v="21.76"/>
        <n v="231.125"/>
        <n v="28.944000000000003"/>
        <n v="226.63800000000003"/>
        <n v="42.39"/>
        <n v="20.468000000000004"/>
        <n v="99.305999999999997"/>
        <n v="88.56"/>
        <n v="46.008000000000003"/>
        <n v="436.26600000000002"/>
        <n v="135.96"/>
        <n v="62.436000000000007"/>
        <n v="585.73800000000006"/>
        <n v="1208.184"/>
        <n v="34.816000000000003"/>
        <n v="211.83500000000001"/>
        <n v="301.79500000000002"/>
        <n v="1056.1280000000002"/>
        <n v="168.38400000000001"/>
        <n v="145.739"/>
        <n v="96.920000000000016"/>
        <n v="22.656000000000002"/>
        <n v="64.638000000000005"/>
        <n v="39.42"/>
        <n v="184.62"/>
        <n v="447.55200000000008"/>
        <n v="29.352"/>
        <n v="492.39700000000005"/>
        <n v="184.08600000000001"/>
        <n v="1014.0799999999999"/>
        <n v="12.355"/>
        <n v="97.470000000000013"/>
        <n v="947.31000000000006"/>
        <n v="293.04000000000002"/>
        <n v="630.20800000000008"/>
        <n v="270.84800000000001"/>
        <n v="1015.7950000000001"/>
        <n v="535.976"/>
        <n v="62.53"/>
        <n v="428.22399999999999"/>
        <n v="420.928"/>
        <n v="1.69"/>
        <n v="17.024000000000001"/>
        <n v="10.39"/>
        <n v="338.53000000000003"/>
        <n v="220.935"/>
        <n v="21.645"/>
        <n v="18.240000000000002"/>
        <n v="120.25"/>
        <n v="130.11199999999999"/>
        <n v="1082.7670000000001"/>
        <n v="197.28900000000002"/>
        <n v="559.4624"/>
        <n v="473.65120000000002"/>
        <n v="178.38080000000002"/>
        <n v="116.3776"/>
        <n v="141.00479999999999"/>
        <n v="148.65120000000002"/>
        <n v="182.78400000000002"/>
        <n v="207.15520000000001"/>
        <n v="317.64159999999998"/>
        <n v="149.94720000000001"/>
        <n v="317.7792"/>
        <n v="53.908799999999999"/>
        <n v="42.028800000000004"/>
        <n v="91.97760000000001"/>
        <n v="28.9344"/>
        <n v="123.07680000000001"/>
        <n v="99.527999999999992"/>
        <n v="17.703199999999999"/>
        <n v="7.008"/>
        <n v="28.3992"/>
        <n v="21.761599999999998"/>
        <n v="22.619200000000003"/>
        <n v="28.584000000000003"/>
        <n v="42.783200000000001"/>
        <n v="58.852800000000002"/>
        <n v="87.559200000000004"/>
        <n v="80.735200000000006"/>
        <n v="114.08"/>
        <n v="227.71199999999999"/>
        <n v="255.74400000000003"/>
        <n v="133.83500000000001"/>
        <n v="166.95600000000002"/>
        <n v="120.57600000000001"/>
        <n v="72.864000000000004"/>
        <n v="106.81600000000002"/>
        <n v="100.89600000000002"/>
        <n v="147.32249999999999"/>
        <n v="198.09900000000002"/>
        <n v="293.14800000000002"/>
        <n v="557.37600000000009"/>
        <n v="207.072"/>
        <n v="458.28250000000003"/>
        <n v="153.68"/>
        <n v="55.835000000000008"/>
        <n v="30.336000000000002"/>
        <n v="324.51250000000005"/>
        <n v="31.84"/>
        <n v="263.2"/>
        <n v="211.61599999999999"/>
        <n v="36.351999999999997"/>
        <n v="287.55200000000002"/>
        <n v="42.816000000000003"/>
        <n v="46.72"/>
        <n v="279.93600000000004"/>
        <n v="205.18400000000003"/>
        <n v="356.03200000000004"/>
        <n v="469.67900000000003"/>
        <n v="25.091999999999999"/>
        <n v="230.56300000000002"/>
        <n v="34.938000000000002"/>
        <n v="218.37600000000003"/>
        <n v="34.884"/>
        <n v="100.818"/>
        <n v="75.33"/>
        <n v="419.14799999999997"/>
        <n v="131.80199999999999"/>
        <n v="54.713999999999999"/>
        <n v="535.84199999999998"/>
        <n v="1376.0540000000001"/>
        <n v="35.904000000000003"/>
        <n v="869.23500000000013"/>
        <n v="125.71"/>
        <n v="555.20000000000005"/>
        <n v="275.26400000000001"/>
        <n v="407.96100000000001"/>
        <n v="287.488"/>
        <n v="19.968000000000004"/>
        <n v="393.93000000000006"/>
        <n v="367.68600000000004"/>
        <n v="167.41600000000003"/>
        <n v="446.904"/>
        <n v="21.252000000000002"/>
        <n v="172.476"/>
        <n v="207.73800000000003"/>
        <n v="366.65600000000001"/>
        <n v="16.904"/>
        <n v="365.95800000000003"/>
        <n v="673.07500000000005"/>
        <n v="299.70600000000002"/>
        <n v="628.60800000000006"/>
        <n v="281.28000000000003"/>
        <n v="861.30200000000013"/>
        <n v="339.66"/>
        <n v="193.64400000000001"/>
        <n v="380.26400000000001"/>
      </sharedItems>
    </cacheField>
  </cacheFields>
  <extLst>
    <ext xmlns:x14="http://schemas.microsoft.com/office/spreadsheetml/2009/9/main" uri="{725AE2AE-9491-48be-B2B4-4EB974FC3084}">
      <x14:pivotCacheDefinition pivotCacheId="20270589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x v="0"/>
    <x v="0"/>
    <x v="0"/>
    <x v="0"/>
    <x v="0"/>
    <n v="0.1"/>
    <x v="0"/>
  </r>
  <r>
    <x v="0"/>
    <x v="1"/>
    <x v="1"/>
    <x v="0"/>
    <x v="1"/>
    <n v="0.1"/>
    <x v="1"/>
  </r>
  <r>
    <x v="0"/>
    <x v="1"/>
    <x v="2"/>
    <x v="0"/>
    <x v="2"/>
    <n v="0.1"/>
    <x v="2"/>
  </r>
  <r>
    <x v="0"/>
    <x v="1"/>
    <x v="3"/>
    <x v="0"/>
    <x v="3"/>
    <n v="0.1"/>
    <x v="3"/>
  </r>
  <r>
    <x v="0"/>
    <x v="2"/>
    <x v="3"/>
    <x v="0"/>
    <x v="4"/>
    <n v="0.1"/>
    <x v="4"/>
  </r>
  <r>
    <x v="0"/>
    <x v="2"/>
    <x v="4"/>
    <x v="0"/>
    <x v="5"/>
    <n v="0.1"/>
    <x v="5"/>
  </r>
  <r>
    <x v="0"/>
    <x v="2"/>
    <x v="5"/>
    <x v="0"/>
    <x v="6"/>
    <n v="0.1"/>
    <x v="6"/>
  </r>
  <r>
    <x v="0"/>
    <x v="3"/>
    <x v="6"/>
    <x v="0"/>
    <x v="7"/>
    <n v="0.1"/>
    <x v="7"/>
  </r>
  <r>
    <x v="0"/>
    <x v="3"/>
    <x v="7"/>
    <x v="0"/>
    <x v="2"/>
    <n v="0.1"/>
    <x v="2"/>
  </r>
  <r>
    <x v="0"/>
    <x v="3"/>
    <x v="4"/>
    <x v="0"/>
    <x v="8"/>
    <n v="0.1"/>
    <x v="8"/>
  </r>
  <r>
    <x v="0"/>
    <x v="3"/>
    <x v="8"/>
    <x v="0"/>
    <x v="9"/>
    <n v="0.1"/>
    <x v="9"/>
  </r>
  <r>
    <x v="0"/>
    <x v="3"/>
    <x v="9"/>
    <x v="0"/>
    <x v="10"/>
    <n v="0.1"/>
    <x v="10"/>
  </r>
  <r>
    <x v="0"/>
    <x v="3"/>
    <x v="10"/>
    <x v="0"/>
    <x v="11"/>
    <n v="0.1"/>
    <x v="11"/>
  </r>
  <r>
    <x v="0"/>
    <x v="3"/>
    <x v="11"/>
    <x v="0"/>
    <x v="12"/>
    <n v="0.1"/>
    <x v="12"/>
  </r>
  <r>
    <x v="0"/>
    <x v="3"/>
    <x v="12"/>
    <x v="0"/>
    <x v="13"/>
    <n v="0.1"/>
    <x v="13"/>
  </r>
  <r>
    <x v="0"/>
    <x v="4"/>
    <x v="13"/>
    <x v="0"/>
    <x v="2"/>
    <n v="0.1"/>
    <x v="2"/>
  </r>
  <r>
    <x v="0"/>
    <x v="5"/>
    <x v="14"/>
    <x v="0"/>
    <x v="14"/>
    <n v="0.1"/>
    <x v="14"/>
  </r>
  <r>
    <x v="0"/>
    <x v="6"/>
    <x v="14"/>
    <x v="0"/>
    <x v="14"/>
    <n v="0.1"/>
    <x v="14"/>
  </r>
  <r>
    <x v="1"/>
    <x v="7"/>
    <x v="15"/>
    <x v="0"/>
    <x v="15"/>
    <n v="0.1"/>
    <x v="15"/>
  </r>
  <r>
    <x v="1"/>
    <x v="7"/>
    <x v="16"/>
    <x v="0"/>
    <x v="16"/>
    <n v="0.1"/>
    <x v="16"/>
  </r>
  <r>
    <x v="2"/>
    <x v="8"/>
    <x v="17"/>
    <x v="0"/>
    <x v="17"/>
    <n v="0.08"/>
    <x v="17"/>
  </r>
  <r>
    <x v="2"/>
    <x v="8"/>
    <x v="18"/>
    <x v="0"/>
    <x v="18"/>
    <n v="0.08"/>
    <x v="18"/>
  </r>
  <r>
    <x v="2"/>
    <x v="8"/>
    <x v="19"/>
    <x v="0"/>
    <x v="19"/>
    <n v="0.08"/>
    <x v="19"/>
  </r>
  <r>
    <x v="2"/>
    <x v="8"/>
    <x v="20"/>
    <x v="0"/>
    <x v="20"/>
    <n v="0.08"/>
    <x v="20"/>
  </r>
  <r>
    <x v="2"/>
    <x v="8"/>
    <x v="21"/>
    <x v="0"/>
    <x v="21"/>
    <n v="0.08"/>
    <x v="21"/>
  </r>
  <r>
    <x v="2"/>
    <x v="8"/>
    <x v="22"/>
    <x v="0"/>
    <x v="22"/>
    <n v="0.08"/>
    <x v="22"/>
  </r>
  <r>
    <x v="2"/>
    <x v="8"/>
    <x v="23"/>
    <x v="0"/>
    <x v="23"/>
    <n v="0.08"/>
    <x v="23"/>
  </r>
  <r>
    <x v="2"/>
    <x v="8"/>
    <x v="24"/>
    <x v="0"/>
    <x v="24"/>
    <n v="0.08"/>
    <x v="24"/>
  </r>
  <r>
    <x v="2"/>
    <x v="8"/>
    <x v="25"/>
    <x v="0"/>
    <x v="25"/>
    <n v="0.08"/>
    <x v="25"/>
  </r>
  <r>
    <x v="2"/>
    <x v="8"/>
    <x v="26"/>
    <x v="0"/>
    <x v="26"/>
    <n v="0.08"/>
    <x v="26"/>
  </r>
  <r>
    <x v="2"/>
    <x v="8"/>
    <x v="27"/>
    <x v="0"/>
    <x v="27"/>
    <n v="0.08"/>
    <x v="27"/>
  </r>
  <r>
    <x v="2"/>
    <x v="8"/>
    <x v="28"/>
    <x v="0"/>
    <x v="28"/>
    <n v="0.08"/>
    <x v="28"/>
  </r>
  <r>
    <x v="2"/>
    <x v="8"/>
    <x v="29"/>
    <x v="0"/>
    <x v="29"/>
    <n v="0.08"/>
    <x v="29"/>
  </r>
  <r>
    <x v="2"/>
    <x v="8"/>
    <x v="30"/>
    <x v="0"/>
    <x v="30"/>
    <n v="0.08"/>
    <x v="30"/>
  </r>
  <r>
    <x v="2"/>
    <x v="8"/>
    <x v="31"/>
    <x v="0"/>
    <x v="31"/>
    <n v="0.08"/>
    <x v="31"/>
  </r>
  <r>
    <x v="2"/>
    <x v="8"/>
    <x v="32"/>
    <x v="0"/>
    <x v="32"/>
    <n v="0.08"/>
    <x v="32"/>
  </r>
  <r>
    <x v="2"/>
    <x v="8"/>
    <x v="33"/>
    <x v="0"/>
    <x v="33"/>
    <n v="0.08"/>
    <x v="33"/>
  </r>
  <r>
    <x v="2"/>
    <x v="8"/>
    <x v="34"/>
    <x v="0"/>
    <x v="34"/>
    <n v="0.08"/>
    <x v="34"/>
  </r>
  <r>
    <x v="2"/>
    <x v="8"/>
    <x v="35"/>
    <x v="0"/>
    <x v="35"/>
    <n v="0.08"/>
    <x v="35"/>
  </r>
  <r>
    <x v="2"/>
    <x v="8"/>
    <x v="36"/>
    <x v="0"/>
    <x v="36"/>
    <n v="0.08"/>
    <x v="36"/>
  </r>
  <r>
    <x v="2"/>
    <x v="8"/>
    <x v="37"/>
    <x v="0"/>
    <x v="37"/>
    <n v="0.08"/>
    <x v="37"/>
  </r>
  <r>
    <x v="2"/>
    <x v="8"/>
    <x v="38"/>
    <x v="0"/>
    <x v="38"/>
    <n v="0.08"/>
    <x v="38"/>
  </r>
  <r>
    <x v="2"/>
    <x v="8"/>
    <x v="39"/>
    <x v="0"/>
    <x v="39"/>
    <n v="0.08"/>
    <x v="39"/>
  </r>
  <r>
    <x v="2"/>
    <x v="8"/>
    <x v="40"/>
    <x v="0"/>
    <x v="40"/>
    <n v="0.08"/>
    <x v="40"/>
  </r>
  <r>
    <x v="2"/>
    <x v="8"/>
    <x v="41"/>
    <x v="0"/>
    <x v="41"/>
    <n v="0.08"/>
    <x v="41"/>
  </r>
  <r>
    <x v="2"/>
    <x v="8"/>
    <x v="42"/>
    <x v="0"/>
    <x v="42"/>
    <n v="0.08"/>
    <x v="42"/>
  </r>
  <r>
    <x v="2"/>
    <x v="8"/>
    <x v="43"/>
    <x v="0"/>
    <x v="43"/>
    <n v="0.08"/>
    <x v="43"/>
  </r>
  <r>
    <x v="3"/>
    <x v="9"/>
    <x v="44"/>
    <x v="0"/>
    <x v="44"/>
    <n v="0.05"/>
    <x v="2"/>
  </r>
  <r>
    <x v="3"/>
    <x v="9"/>
    <x v="45"/>
    <x v="0"/>
    <x v="45"/>
    <n v="0.05"/>
    <x v="44"/>
  </r>
  <r>
    <x v="3"/>
    <x v="9"/>
    <x v="46"/>
    <x v="0"/>
    <x v="44"/>
    <n v="0.05"/>
    <x v="2"/>
  </r>
  <r>
    <x v="3"/>
    <x v="9"/>
    <x v="47"/>
    <x v="0"/>
    <x v="46"/>
    <n v="0.05"/>
    <x v="45"/>
  </r>
  <r>
    <x v="3"/>
    <x v="9"/>
    <x v="48"/>
    <x v="0"/>
    <x v="47"/>
    <n v="0.05"/>
    <x v="46"/>
  </r>
  <r>
    <x v="3"/>
    <x v="9"/>
    <x v="49"/>
    <x v="0"/>
    <x v="48"/>
    <n v="0.05"/>
    <x v="47"/>
  </r>
  <r>
    <x v="3"/>
    <x v="9"/>
    <x v="50"/>
    <x v="0"/>
    <x v="49"/>
    <n v="0.05"/>
    <x v="48"/>
  </r>
  <r>
    <x v="3"/>
    <x v="9"/>
    <x v="51"/>
    <x v="0"/>
    <x v="50"/>
    <n v="0.05"/>
    <x v="49"/>
  </r>
  <r>
    <x v="3"/>
    <x v="9"/>
    <x v="52"/>
    <x v="0"/>
    <x v="2"/>
    <n v="0.05"/>
    <x v="2"/>
  </r>
  <r>
    <x v="3"/>
    <x v="9"/>
    <x v="53"/>
    <x v="0"/>
    <x v="51"/>
    <n v="0.05"/>
    <x v="50"/>
  </r>
  <r>
    <x v="3"/>
    <x v="9"/>
    <x v="54"/>
    <x v="0"/>
    <x v="52"/>
    <n v="0.05"/>
    <x v="51"/>
  </r>
  <r>
    <x v="3"/>
    <x v="9"/>
    <x v="55"/>
    <x v="0"/>
    <x v="53"/>
    <n v="0.05"/>
    <x v="52"/>
  </r>
  <r>
    <x v="3"/>
    <x v="9"/>
    <x v="56"/>
    <x v="0"/>
    <x v="2"/>
    <n v="0.05"/>
    <x v="2"/>
  </r>
  <r>
    <x v="3"/>
    <x v="9"/>
    <x v="57"/>
    <x v="0"/>
    <x v="54"/>
    <n v="0.05"/>
    <x v="53"/>
  </r>
  <r>
    <x v="3"/>
    <x v="9"/>
    <x v="58"/>
    <x v="0"/>
    <x v="55"/>
    <n v="0.05"/>
    <x v="54"/>
  </r>
  <r>
    <x v="3"/>
    <x v="9"/>
    <x v="59"/>
    <x v="0"/>
    <x v="56"/>
    <n v="0.05"/>
    <x v="55"/>
  </r>
  <r>
    <x v="3"/>
    <x v="10"/>
    <x v="60"/>
    <x v="0"/>
    <x v="57"/>
    <n v="0.05"/>
    <x v="56"/>
  </r>
  <r>
    <x v="3"/>
    <x v="10"/>
    <x v="61"/>
    <x v="0"/>
    <x v="58"/>
    <n v="0.05"/>
    <x v="57"/>
  </r>
  <r>
    <x v="3"/>
    <x v="10"/>
    <x v="62"/>
    <x v="0"/>
    <x v="59"/>
    <n v="0.05"/>
    <x v="58"/>
  </r>
  <r>
    <x v="3"/>
    <x v="10"/>
    <x v="63"/>
    <x v="0"/>
    <x v="60"/>
    <n v="0.05"/>
    <x v="59"/>
  </r>
  <r>
    <x v="3"/>
    <x v="10"/>
    <x v="64"/>
    <x v="0"/>
    <x v="61"/>
    <n v="0.05"/>
    <x v="60"/>
  </r>
  <r>
    <x v="3"/>
    <x v="10"/>
    <x v="65"/>
    <x v="0"/>
    <x v="62"/>
    <n v="0.05"/>
    <x v="61"/>
  </r>
  <r>
    <x v="3"/>
    <x v="10"/>
    <x v="66"/>
    <x v="0"/>
    <x v="63"/>
    <n v="0.05"/>
    <x v="62"/>
  </r>
  <r>
    <x v="3"/>
    <x v="10"/>
    <x v="67"/>
    <x v="0"/>
    <x v="64"/>
    <n v="0.05"/>
    <x v="63"/>
  </r>
  <r>
    <x v="3"/>
    <x v="11"/>
    <x v="68"/>
    <x v="0"/>
    <x v="65"/>
    <n v="0.05"/>
    <x v="64"/>
  </r>
  <r>
    <x v="3"/>
    <x v="11"/>
    <x v="69"/>
    <x v="0"/>
    <x v="66"/>
    <n v="0.05"/>
    <x v="65"/>
  </r>
  <r>
    <x v="3"/>
    <x v="11"/>
    <x v="70"/>
    <x v="0"/>
    <x v="67"/>
    <n v="0.05"/>
    <x v="66"/>
  </r>
  <r>
    <x v="3"/>
    <x v="11"/>
    <x v="71"/>
    <x v="0"/>
    <x v="68"/>
    <n v="0.05"/>
    <x v="67"/>
  </r>
  <r>
    <x v="3"/>
    <x v="11"/>
    <x v="72"/>
    <x v="0"/>
    <x v="69"/>
    <n v="0.05"/>
    <x v="68"/>
  </r>
  <r>
    <x v="3"/>
    <x v="11"/>
    <x v="73"/>
    <x v="0"/>
    <x v="2"/>
    <n v="0.05"/>
    <x v="2"/>
  </r>
  <r>
    <x v="3"/>
    <x v="11"/>
    <x v="74"/>
    <x v="0"/>
    <x v="70"/>
    <n v="0.05"/>
    <x v="69"/>
  </r>
  <r>
    <x v="3"/>
    <x v="11"/>
    <x v="75"/>
    <x v="0"/>
    <x v="71"/>
    <n v="0.05"/>
    <x v="70"/>
  </r>
  <r>
    <x v="3"/>
    <x v="11"/>
    <x v="76"/>
    <x v="0"/>
    <x v="72"/>
    <n v="0.05"/>
    <x v="71"/>
  </r>
  <r>
    <x v="3"/>
    <x v="11"/>
    <x v="77"/>
    <x v="0"/>
    <x v="73"/>
    <n v="0.05"/>
    <x v="72"/>
  </r>
  <r>
    <x v="3"/>
    <x v="11"/>
    <x v="78"/>
    <x v="0"/>
    <x v="74"/>
    <n v="0.05"/>
    <x v="73"/>
  </r>
  <r>
    <x v="4"/>
    <x v="12"/>
    <x v="79"/>
    <x v="0"/>
    <x v="75"/>
    <n v="0.1"/>
    <x v="74"/>
  </r>
  <r>
    <x v="4"/>
    <x v="12"/>
    <x v="80"/>
    <x v="0"/>
    <x v="76"/>
    <n v="0.1"/>
    <x v="75"/>
  </r>
  <r>
    <x v="4"/>
    <x v="12"/>
    <x v="81"/>
    <x v="0"/>
    <x v="77"/>
    <n v="0.1"/>
    <x v="76"/>
  </r>
  <r>
    <x v="4"/>
    <x v="12"/>
    <x v="82"/>
    <x v="0"/>
    <x v="78"/>
    <n v="0.1"/>
    <x v="77"/>
  </r>
  <r>
    <x v="4"/>
    <x v="12"/>
    <x v="83"/>
    <x v="0"/>
    <x v="79"/>
    <n v="0.1"/>
    <x v="78"/>
  </r>
  <r>
    <x v="4"/>
    <x v="12"/>
    <x v="84"/>
    <x v="0"/>
    <x v="80"/>
    <n v="0.1"/>
    <x v="79"/>
  </r>
  <r>
    <x v="4"/>
    <x v="12"/>
    <x v="85"/>
    <x v="0"/>
    <x v="81"/>
    <n v="0.1"/>
    <x v="80"/>
  </r>
  <r>
    <x v="4"/>
    <x v="12"/>
    <x v="86"/>
    <x v="0"/>
    <x v="2"/>
    <n v="0.1"/>
    <x v="2"/>
  </r>
  <r>
    <x v="4"/>
    <x v="12"/>
    <x v="87"/>
    <x v="0"/>
    <x v="82"/>
    <n v="0.1"/>
    <x v="81"/>
  </r>
  <r>
    <x v="4"/>
    <x v="12"/>
    <x v="88"/>
    <x v="0"/>
    <x v="83"/>
    <n v="0.1"/>
    <x v="82"/>
  </r>
  <r>
    <x v="4"/>
    <x v="12"/>
    <x v="89"/>
    <x v="0"/>
    <x v="84"/>
    <n v="0.1"/>
    <x v="83"/>
  </r>
  <r>
    <x v="4"/>
    <x v="12"/>
    <x v="90"/>
    <x v="0"/>
    <x v="2"/>
    <n v="0.1"/>
    <x v="2"/>
  </r>
  <r>
    <x v="4"/>
    <x v="12"/>
    <x v="91"/>
    <x v="0"/>
    <x v="85"/>
    <n v="0.1"/>
    <x v="84"/>
  </r>
  <r>
    <x v="4"/>
    <x v="12"/>
    <x v="92"/>
    <x v="0"/>
    <x v="86"/>
    <n v="0.1"/>
    <x v="2"/>
  </r>
  <r>
    <x v="4"/>
    <x v="12"/>
    <x v="93"/>
    <x v="0"/>
    <x v="87"/>
    <n v="0.1"/>
    <x v="85"/>
  </r>
  <r>
    <x v="4"/>
    <x v="12"/>
    <x v="94"/>
    <x v="0"/>
    <x v="88"/>
    <n v="0.1"/>
    <x v="86"/>
  </r>
  <r>
    <x v="4"/>
    <x v="12"/>
    <x v="95"/>
    <x v="0"/>
    <x v="89"/>
    <n v="0.1"/>
    <x v="87"/>
  </r>
  <r>
    <x v="4"/>
    <x v="12"/>
    <x v="96"/>
    <x v="0"/>
    <x v="90"/>
    <n v="0.1"/>
    <x v="88"/>
  </r>
  <r>
    <x v="4"/>
    <x v="12"/>
    <x v="97"/>
    <x v="0"/>
    <x v="91"/>
    <n v="0.1"/>
    <x v="89"/>
  </r>
  <r>
    <x v="4"/>
    <x v="12"/>
    <x v="98"/>
    <x v="0"/>
    <x v="92"/>
    <n v="0.1"/>
    <x v="90"/>
  </r>
  <r>
    <x v="4"/>
    <x v="12"/>
    <x v="99"/>
    <x v="0"/>
    <x v="93"/>
    <n v="0.1"/>
    <x v="91"/>
  </r>
  <r>
    <x v="4"/>
    <x v="12"/>
    <x v="100"/>
    <x v="0"/>
    <x v="94"/>
    <n v="0.1"/>
    <x v="92"/>
  </r>
  <r>
    <x v="4"/>
    <x v="12"/>
    <x v="101"/>
    <x v="0"/>
    <x v="95"/>
    <n v="0.1"/>
    <x v="93"/>
  </r>
  <r>
    <x v="4"/>
    <x v="12"/>
    <x v="102"/>
    <x v="0"/>
    <x v="96"/>
    <n v="0.1"/>
    <x v="94"/>
  </r>
  <r>
    <x v="4"/>
    <x v="12"/>
    <x v="103"/>
    <x v="0"/>
    <x v="97"/>
    <n v="0.1"/>
    <x v="95"/>
  </r>
  <r>
    <x v="4"/>
    <x v="12"/>
    <x v="104"/>
    <x v="0"/>
    <x v="98"/>
    <n v="0.1"/>
    <x v="96"/>
  </r>
  <r>
    <x v="4"/>
    <x v="12"/>
    <x v="105"/>
    <x v="0"/>
    <x v="99"/>
    <n v="0.1"/>
    <x v="97"/>
  </r>
  <r>
    <x v="4"/>
    <x v="12"/>
    <x v="106"/>
    <x v="0"/>
    <x v="100"/>
    <n v="0.1"/>
    <x v="98"/>
  </r>
  <r>
    <x v="5"/>
    <x v="13"/>
    <x v="107"/>
    <x v="0"/>
    <x v="101"/>
    <n v="0.1"/>
    <x v="99"/>
  </r>
  <r>
    <x v="5"/>
    <x v="13"/>
    <x v="108"/>
    <x v="0"/>
    <x v="102"/>
    <n v="0.1"/>
    <x v="100"/>
  </r>
  <r>
    <x v="5"/>
    <x v="13"/>
    <x v="109"/>
    <x v="0"/>
    <x v="103"/>
    <n v="0.1"/>
    <x v="101"/>
  </r>
  <r>
    <x v="5"/>
    <x v="13"/>
    <x v="110"/>
    <x v="0"/>
    <x v="104"/>
    <n v="0.1"/>
    <x v="102"/>
  </r>
  <r>
    <x v="5"/>
    <x v="13"/>
    <x v="111"/>
    <x v="0"/>
    <x v="105"/>
    <n v="0.1"/>
    <x v="103"/>
  </r>
  <r>
    <x v="5"/>
    <x v="13"/>
    <x v="112"/>
    <x v="0"/>
    <x v="106"/>
    <n v="0.1"/>
    <x v="104"/>
  </r>
  <r>
    <x v="5"/>
    <x v="13"/>
    <x v="113"/>
    <x v="0"/>
    <x v="2"/>
    <n v="0.1"/>
    <x v="2"/>
  </r>
  <r>
    <x v="5"/>
    <x v="13"/>
    <x v="114"/>
    <x v="0"/>
    <x v="107"/>
    <n v="0.1"/>
    <x v="105"/>
  </r>
  <r>
    <x v="5"/>
    <x v="13"/>
    <x v="115"/>
    <x v="0"/>
    <x v="108"/>
    <n v="0.1"/>
    <x v="106"/>
  </r>
  <r>
    <x v="5"/>
    <x v="13"/>
    <x v="116"/>
    <x v="0"/>
    <x v="109"/>
    <n v="0.1"/>
    <x v="107"/>
  </r>
  <r>
    <x v="6"/>
    <x v="14"/>
    <x v="117"/>
    <x v="0"/>
    <x v="110"/>
    <n v="0.1"/>
    <x v="108"/>
  </r>
  <r>
    <x v="6"/>
    <x v="14"/>
    <x v="118"/>
    <x v="0"/>
    <x v="111"/>
    <n v="0.1"/>
    <x v="109"/>
  </r>
  <r>
    <x v="6"/>
    <x v="14"/>
    <x v="119"/>
    <x v="0"/>
    <x v="112"/>
    <n v="0.1"/>
    <x v="110"/>
  </r>
  <r>
    <x v="6"/>
    <x v="14"/>
    <x v="120"/>
    <x v="0"/>
    <x v="113"/>
    <n v="0.1"/>
    <x v="111"/>
  </r>
  <r>
    <x v="6"/>
    <x v="14"/>
    <x v="121"/>
    <x v="0"/>
    <x v="114"/>
    <n v="0.1"/>
    <x v="112"/>
  </r>
  <r>
    <x v="0"/>
    <x v="0"/>
    <x v="0"/>
    <x v="1"/>
    <x v="115"/>
    <n v="0.1"/>
    <x v="113"/>
  </r>
  <r>
    <x v="0"/>
    <x v="1"/>
    <x v="3"/>
    <x v="1"/>
    <x v="116"/>
    <n v="0.1"/>
    <x v="114"/>
  </r>
  <r>
    <x v="0"/>
    <x v="2"/>
    <x v="1"/>
    <x v="1"/>
    <x v="117"/>
    <n v="0.1"/>
    <x v="115"/>
  </r>
  <r>
    <x v="0"/>
    <x v="2"/>
    <x v="122"/>
    <x v="1"/>
    <x v="118"/>
    <n v="0.1"/>
    <x v="116"/>
  </r>
  <r>
    <x v="0"/>
    <x v="2"/>
    <x v="5"/>
    <x v="1"/>
    <x v="119"/>
    <n v="0.1"/>
    <x v="117"/>
  </r>
  <r>
    <x v="0"/>
    <x v="3"/>
    <x v="6"/>
    <x v="1"/>
    <x v="120"/>
    <n v="0.1"/>
    <x v="118"/>
  </r>
  <r>
    <x v="0"/>
    <x v="3"/>
    <x v="123"/>
    <x v="1"/>
    <x v="121"/>
    <n v="0.1"/>
    <x v="119"/>
  </r>
  <r>
    <x v="0"/>
    <x v="3"/>
    <x v="4"/>
    <x v="1"/>
    <x v="122"/>
    <n v="0.1"/>
    <x v="120"/>
  </r>
  <r>
    <x v="0"/>
    <x v="3"/>
    <x v="8"/>
    <x v="1"/>
    <x v="123"/>
    <n v="0.1"/>
    <x v="121"/>
  </r>
  <r>
    <x v="0"/>
    <x v="3"/>
    <x v="11"/>
    <x v="1"/>
    <x v="124"/>
    <n v="0.1"/>
    <x v="122"/>
  </r>
  <r>
    <x v="0"/>
    <x v="3"/>
    <x v="12"/>
    <x v="1"/>
    <x v="125"/>
    <n v="0.1"/>
    <x v="123"/>
  </r>
  <r>
    <x v="0"/>
    <x v="4"/>
    <x v="13"/>
    <x v="1"/>
    <x v="2"/>
    <n v="0.1"/>
    <x v="2"/>
  </r>
  <r>
    <x v="0"/>
    <x v="5"/>
    <x v="14"/>
    <x v="1"/>
    <x v="126"/>
    <n v="0.1"/>
    <x v="124"/>
  </r>
  <r>
    <x v="0"/>
    <x v="6"/>
    <x v="14"/>
    <x v="1"/>
    <x v="126"/>
    <n v="0.1"/>
    <x v="124"/>
  </r>
  <r>
    <x v="1"/>
    <x v="7"/>
    <x v="15"/>
    <x v="1"/>
    <x v="127"/>
    <n v="0.1"/>
    <x v="125"/>
  </r>
  <r>
    <x v="1"/>
    <x v="7"/>
    <x v="16"/>
    <x v="1"/>
    <x v="128"/>
    <n v="0.1"/>
    <x v="126"/>
  </r>
  <r>
    <x v="2"/>
    <x v="8"/>
    <x v="17"/>
    <x v="1"/>
    <x v="129"/>
    <n v="0.08"/>
    <x v="127"/>
  </r>
  <r>
    <x v="2"/>
    <x v="8"/>
    <x v="18"/>
    <x v="1"/>
    <x v="130"/>
    <n v="0.08"/>
    <x v="128"/>
  </r>
  <r>
    <x v="2"/>
    <x v="8"/>
    <x v="19"/>
    <x v="1"/>
    <x v="131"/>
    <n v="0.08"/>
    <x v="129"/>
  </r>
  <r>
    <x v="2"/>
    <x v="8"/>
    <x v="20"/>
    <x v="1"/>
    <x v="132"/>
    <n v="0.08"/>
    <x v="130"/>
  </r>
  <r>
    <x v="2"/>
    <x v="8"/>
    <x v="21"/>
    <x v="1"/>
    <x v="133"/>
    <n v="0.08"/>
    <x v="131"/>
  </r>
  <r>
    <x v="2"/>
    <x v="8"/>
    <x v="22"/>
    <x v="1"/>
    <x v="134"/>
    <n v="0.08"/>
    <x v="132"/>
  </r>
  <r>
    <x v="2"/>
    <x v="8"/>
    <x v="23"/>
    <x v="1"/>
    <x v="135"/>
    <n v="0.08"/>
    <x v="133"/>
  </r>
  <r>
    <x v="2"/>
    <x v="8"/>
    <x v="24"/>
    <x v="1"/>
    <x v="136"/>
    <n v="0.08"/>
    <x v="134"/>
  </r>
  <r>
    <x v="2"/>
    <x v="8"/>
    <x v="25"/>
    <x v="1"/>
    <x v="137"/>
    <n v="0.08"/>
    <x v="135"/>
  </r>
  <r>
    <x v="2"/>
    <x v="8"/>
    <x v="26"/>
    <x v="1"/>
    <x v="138"/>
    <n v="0.08"/>
    <x v="136"/>
  </r>
  <r>
    <x v="2"/>
    <x v="8"/>
    <x v="27"/>
    <x v="1"/>
    <x v="139"/>
    <n v="0.08"/>
    <x v="137"/>
  </r>
  <r>
    <x v="2"/>
    <x v="8"/>
    <x v="28"/>
    <x v="1"/>
    <x v="140"/>
    <n v="0.08"/>
    <x v="138"/>
  </r>
  <r>
    <x v="2"/>
    <x v="8"/>
    <x v="29"/>
    <x v="1"/>
    <x v="141"/>
    <n v="0.08"/>
    <x v="139"/>
  </r>
  <r>
    <x v="2"/>
    <x v="8"/>
    <x v="30"/>
    <x v="1"/>
    <x v="142"/>
    <n v="0.08"/>
    <x v="140"/>
  </r>
  <r>
    <x v="2"/>
    <x v="8"/>
    <x v="31"/>
    <x v="1"/>
    <x v="143"/>
    <n v="0.08"/>
    <x v="141"/>
  </r>
  <r>
    <x v="2"/>
    <x v="8"/>
    <x v="32"/>
    <x v="1"/>
    <x v="144"/>
    <n v="0.08"/>
    <x v="142"/>
  </r>
  <r>
    <x v="2"/>
    <x v="8"/>
    <x v="33"/>
    <x v="1"/>
    <x v="145"/>
    <n v="0.08"/>
    <x v="143"/>
  </r>
  <r>
    <x v="2"/>
    <x v="8"/>
    <x v="34"/>
    <x v="1"/>
    <x v="146"/>
    <n v="0.08"/>
    <x v="144"/>
  </r>
  <r>
    <x v="2"/>
    <x v="8"/>
    <x v="35"/>
    <x v="1"/>
    <x v="147"/>
    <n v="0.08"/>
    <x v="145"/>
  </r>
  <r>
    <x v="2"/>
    <x v="8"/>
    <x v="36"/>
    <x v="1"/>
    <x v="148"/>
    <n v="0.08"/>
    <x v="146"/>
  </r>
  <r>
    <x v="2"/>
    <x v="8"/>
    <x v="37"/>
    <x v="1"/>
    <x v="149"/>
    <n v="0.08"/>
    <x v="147"/>
  </r>
  <r>
    <x v="2"/>
    <x v="8"/>
    <x v="38"/>
    <x v="1"/>
    <x v="150"/>
    <n v="0.08"/>
    <x v="148"/>
  </r>
  <r>
    <x v="2"/>
    <x v="8"/>
    <x v="39"/>
    <x v="1"/>
    <x v="151"/>
    <n v="0.08"/>
    <x v="149"/>
  </r>
  <r>
    <x v="2"/>
    <x v="8"/>
    <x v="40"/>
    <x v="1"/>
    <x v="152"/>
    <n v="0.08"/>
    <x v="150"/>
  </r>
  <r>
    <x v="2"/>
    <x v="8"/>
    <x v="41"/>
    <x v="1"/>
    <x v="153"/>
    <n v="0.08"/>
    <x v="151"/>
  </r>
  <r>
    <x v="2"/>
    <x v="8"/>
    <x v="42"/>
    <x v="1"/>
    <x v="154"/>
    <n v="0.08"/>
    <x v="152"/>
  </r>
  <r>
    <x v="2"/>
    <x v="8"/>
    <x v="43"/>
    <x v="1"/>
    <x v="155"/>
    <n v="0.08"/>
    <x v="153"/>
  </r>
  <r>
    <x v="3"/>
    <x v="9"/>
    <x v="45"/>
    <x v="1"/>
    <x v="156"/>
    <n v="0.05"/>
    <x v="154"/>
  </r>
  <r>
    <x v="3"/>
    <x v="9"/>
    <x v="124"/>
    <x v="1"/>
    <x v="157"/>
    <n v="0.05"/>
    <x v="155"/>
  </r>
  <r>
    <x v="3"/>
    <x v="9"/>
    <x v="48"/>
    <x v="1"/>
    <x v="158"/>
    <n v="0.05"/>
    <x v="156"/>
  </r>
  <r>
    <x v="3"/>
    <x v="9"/>
    <x v="49"/>
    <x v="1"/>
    <x v="159"/>
    <n v="0.05"/>
    <x v="157"/>
  </r>
  <r>
    <x v="3"/>
    <x v="9"/>
    <x v="50"/>
    <x v="1"/>
    <x v="160"/>
    <n v="0.05"/>
    <x v="158"/>
  </r>
  <r>
    <x v="3"/>
    <x v="9"/>
    <x v="51"/>
    <x v="1"/>
    <x v="161"/>
    <n v="0.05"/>
    <x v="159"/>
  </r>
  <r>
    <x v="3"/>
    <x v="9"/>
    <x v="54"/>
    <x v="1"/>
    <x v="162"/>
    <n v="0.05"/>
    <x v="160"/>
  </r>
  <r>
    <x v="3"/>
    <x v="9"/>
    <x v="55"/>
    <x v="1"/>
    <x v="163"/>
    <n v="0.05"/>
    <x v="161"/>
  </r>
  <r>
    <x v="3"/>
    <x v="9"/>
    <x v="57"/>
    <x v="1"/>
    <x v="164"/>
    <n v="0.05"/>
    <x v="162"/>
  </r>
  <r>
    <x v="3"/>
    <x v="9"/>
    <x v="58"/>
    <x v="1"/>
    <x v="165"/>
    <n v="0.05"/>
    <x v="163"/>
  </r>
  <r>
    <x v="3"/>
    <x v="9"/>
    <x v="59"/>
    <x v="1"/>
    <x v="166"/>
    <n v="0.05"/>
    <x v="164"/>
  </r>
  <r>
    <x v="3"/>
    <x v="10"/>
    <x v="60"/>
    <x v="1"/>
    <x v="167"/>
    <n v="0.05"/>
    <x v="165"/>
  </r>
  <r>
    <x v="3"/>
    <x v="10"/>
    <x v="61"/>
    <x v="1"/>
    <x v="168"/>
    <n v="0.05"/>
    <x v="166"/>
  </r>
  <r>
    <x v="3"/>
    <x v="10"/>
    <x v="62"/>
    <x v="1"/>
    <x v="169"/>
    <n v="0.05"/>
    <x v="167"/>
  </r>
  <r>
    <x v="3"/>
    <x v="10"/>
    <x v="63"/>
    <x v="1"/>
    <x v="170"/>
    <n v="0.05"/>
    <x v="168"/>
  </r>
  <r>
    <x v="3"/>
    <x v="10"/>
    <x v="64"/>
    <x v="1"/>
    <x v="171"/>
    <n v="0.05"/>
    <x v="169"/>
  </r>
  <r>
    <x v="3"/>
    <x v="10"/>
    <x v="65"/>
    <x v="1"/>
    <x v="172"/>
    <n v="0.05"/>
    <x v="170"/>
  </r>
  <r>
    <x v="3"/>
    <x v="10"/>
    <x v="66"/>
    <x v="1"/>
    <x v="173"/>
    <n v="0.05"/>
    <x v="171"/>
  </r>
  <r>
    <x v="3"/>
    <x v="10"/>
    <x v="67"/>
    <x v="1"/>
    <x v="174"/>
    <n v="0.05"/>
    <x v="172"/>
  </r>
  <r>
    <x v="3"/>
    <x v="11"/>
    <x v="68"/>
    <x v="1"/>
    <x v="175"/>
    <n v="0.05"/>
    <x v="173"/>
  </r>
  <r>
    <x v="3"/>
    <x v="11"/>
    <x v="69"/>
    <x v="1"/>
    <x v="176"/>
    <n v="0.05"/>
    <x v="174"/>
  </r>
  <r>
    <x v="3"/>
    <x v="11"/>
    <x v="70"/>
    <x v="1"/>
    <x v="177"/>
    <n v="0.05"/>
    <x v="175"/>
  </r>
  <r>
    <x v="3"/>
    <x v="11"/>
    <x v="71"/>
    <x v="1"/>
    <x v="178"/>
    <n v="0.05"/>
    <x v="176"/>
  </r>
  <r>
    <x v="3"/>
    <x v="11"/>
    <x v="72"/>
    <x v="1"/>
    <x v="179"/>
    <n v="0.05"/>
    <x v="177"/>
  </r>
  <r>
    <x v="3"/>
    <x v="11"/>
    <x v="73"/>
    <x v="1"/>
    <x v="2"/>
    <n v="0.05"/>
    <x v="2"/>
  </r>
  <r>
    <x v="3"/>
    <x v="11"/>
    <x v="74"/>
    <x v="1"/>
    <x v="180"/>
    <n v="0.05"/>
    <x v="178"/>
  </r>
  <r>
    <x v="3"/>
    <x v="11"/>
    <x v="75"/>
    <x v="1"/>
    <x v="181"/>
    <n v="0.05"/>
    <x v="179"/>
  </r>
  <r>
    <x v="3"/>
    <x v="11"/>
    <x v="76"/>
    <x v="1"/>
    <x v="182"/>
    <n v="0.05"/>
    <x v="180"/>
  </r>
  <r>
    <x v="3"/>
    <x v="11"/>
    <x v="77"/>
    <x v="1"/>
    <x v="183"/>
    <n v="0.05"/>
    <x v="181"/>
  </r>
  <r>
    <x v="3"/>
    <x v="11"/>
    <x v="78"/>
    <x v="1"/>
    <x v="184"/>
    <n v="0.05"/>
    <x v="182"/>
  </r>
  <r>
    <x v="4"/>
    <x v="12"/>
    <x v="79"/>
    <x v="1"/>
    <x v="185"/>
    <n v="0.1"/>
    <x v="183"/>
  </r>
  <r>
    <x v="4"/>
    <x v="12"/>
    <x v="80"/>
    <x v="1"/>
    <x v="186"/>
    <n v="0.1"/>
    <x v="184"/>
  </r>
  <r>
    <x v="4"/>
    <x v="12"/>
    <x v="81"/>
    <x v="1"/>
    <x v="187"/>
    <n v="0.1"/>
    <x v="185"/>
  </r>
  <r>
    <x v="4"/>
    <x v="12"/>
    <x v="82"/>
    <x v="1"/>
    <x v="188"/>
    <n v="0.1"/>
    <x v="186"/>
  </r>
  <r>
    <x v="4"/>
    <x v="12"/>
    <x v="83"/>
    <x v="1"/>
    <x v="189"/>
    <n v="0.1"/>
    <x v="187"/>
  </r>
  <r>
    <x v="4"/>
    <x v="12"/>
    <x v="84"/>
    <x v="1"/>
    <x v="190"/>
    <n v="0.1"/>
    <x v="188"/>
  </r>
  <r>
    <x v="4"/>
    <x v="12"/>
    <x v="85"/>
    <x v="1"/>
    <x v="2"/>
    <n v="0.1"/>
    <x v="2"/>
  </r>
  <r>
    <x v="4"/>
    <x v="12"/>
    <x v="86"/>
    <x v="1"/>
    <x v="2"/>
    <n v="0.1"/>
    <x v="2"/>
  </r>
  <r>
    <x v="4"/>
    <x v="12"/>
    <x v="87"/>
    <x v="1"/>
    <x v="191"/>
    <n v="0.1"/>
    <x v="189"/>
  </r>
  <r>
    <x v="4"/>
    <x v="12"/>
    <x v="88"/>
    <x v="1"/>
    <x v="192"/>
    <n v="0.1"/>
    <x v="190"/>
  </r>
  <r>
    <x v="4"/>
    <x v="12"/>
    <x v="89"/>
    <x v="1"/>
    <x v="2"/>
    <n v="0.1"/>
    <x v="2"/>
  </r>
  <r>
    <x v="4"/>
    <x v="12"/>
    <x v="90"/>
    <x v="1"/>
    <x v="2"/>
    <n v="0.1"/>
    <x v="2"/>
  </r>
  <r>
    <x v="4"/>
    <x v="12"/>
    <x v="91"/>
    <x v="1"/>
    <x v="193"/>
    <n v="0.1"/>
    <x v="191"/>
  </r>
  <r>
    <x v="4"/>
    <x v="12"/>
    <x v="92"/>
    <x v="1"/>
    <x v="2"/>
    <n v="0.1"/>
    <x v="2"/>
  </r>
  <r>
    <x v="4"/>
    <x v="12"/>
    <x v="93"/>
    <x v="1"/>
    <x v="194"/>
    <n v="0.1"/>
    <x v="192"/>
  </r>
  <r>
    <x v="4"/>
    <x v="12"/>
    <x v="94"/>
    <x v="1"/>
    <x v="195"/>
    <n v="0.1"/>
    <x v="193"/>
  </r>
  <r>
    <x v="4"/>
    <x v="12"/>
    <x v="95"/>
    <x v="1"/>
    <x v="196"/>
    <n v="0.1"/>
    <x v="194"/>
  </r>
  <r>
    <x v="4"/>
    <x v="12"/>
    <x v="96"/>
    <x v="1"/>
    <x v="197"/>
    <n v="0.1"/>
    <x v="195"/>
  </r>
  <r>
    <x v="4"/>
    <x v="12"/>
    <x v="97"/>
    <x v="1"/>
    <x v="198"/>
    <n v="0.1"/>
    <x v="196"/>
  </r>
  <r>
    <x v="4"/>
    <x v="12"/>
    <x v="98"/>
    <x v="1"/>
    <x v="199"/>
    <n v="0.1"/>
    <x v="197"/>
  </r>
  <r>
    <x v="4"/>
    <x v="12"/>
    <x v="99"/>
    <x v="1"/>
    <x v="200"/>
    <n v="0.1"/>
    <x v="198"/>
  </r>
  <r>
    <x v="4"/>
    <x v="12"/>
    <x v="100"/>
    <x v="1"/>
    <x v="201"/>
    <n v="0.1"/>
    <x v="199"/>
  </r>
  <r>
    <x v="4"/>
    <x v="12"/>
    <x v="101"/>
    <x v="1"/>
    <x v="202"/>
    <n v="0.1"/>
    <x v="200"/>
  </r>
  <r>
    <x v="4"/>
    <x v="12"/>
    <x v="102"/>
    <x v="1"/>
    <x v="203"/>
    <n v="0.1"/>
    <x v="201"/>
  </r>
  <r>
    <x v="4"/>
    <x v="12"/>
    <x v="103"/>
    <x v="1"/>
    <x v="204"/>
    <n v="0.1"/>
    <x v="202"/>
  </r>
  <r>
    <x v="4"/>
    <x v="12"/>
    <x v="104"/>
    <x v="1"/>
    <x v="205"/>
    <n v="0.1"/>
    <x v="203"/>
  </r>
  <r>
    <x v="4"/>
    <x v="12"/>
    <x v="105"/>
    <x v="1"/>
    <x v="206"/>
    <n v="0.1"/>
    <x v="204"/>
  </r>
  <r>
    <x v="4"/>
    <x v="12"/>
    <x v="106"/>
    <x v="1"/>
    <x v="207"/>
    <n v="0.1"/>
    <x v="205"/>
  </r>
  <r>
    <x v="5"/>
    <x v="13"/>
    <x v="107"/>
    <x v="1"/>
    <x v="208"/>
    <n v="0.1"/>
    <x v="206"/>
  </r>
  <r>
    <x v="5"/>
    <x v="13"/>
    <x v="108"/>
    <x v="1"/>
    <x v="209"/>
    <n v="0.1"/>
    <x v="207"/>
  </r>
  <r>
    <x v="5"/>
    <x v="13"/>
    <x v="109"/>
    <x v="1"/>
    <x v="210"/>
    <n v="0.1"/>
    <x v="208"/>
  </r>
  <r>
    <x v="5"/>
    <x v="13"/>
    <x v="110"/>
    <x v="1"/>
    <x v="211"/>
    <n v="0.1"/>
    <x v="209"/>
  </r>
  <r>
    <x v="5"/>
    <x v="13"/>
    <x v="111"/>
    <x v="1"/>
    <x v="212"/>
    <n v="0.1"/>
    <x v="210"/>
  </r>
  <r>
    <x v="5"/>
    <x v="13"/>
    <x v="112"/>
    <x v="1"/>
    <x v="213"/>
    <n v="0.1"/>
    <x v="211"/>
  </r>
  <r>
    <x v="5"/>
    <x v="13"/>
    <x v="113"/>
    <x v="1"/>
    <x v="2"/>
    <n v="0.1"/>
    <x v="2"/>
  </r>
  <r>
    <x v="5"/>
    <x v="13"/>
    <x v="114"/>
    <x v="1"/>
    <x v="214"/>
    <n v="0.1"/>
    <x v="212"/>
  </r>
  <r>
    <x v="5"/>
    <x v="13"/>
    <x v="115"/>
    <x v="1"/>
    <x v="215"/>
    <n v="0.1"/>
    <x v="213"/>
  </r>
  <r>
    <x v="5"/>
    <x v="13"/>
    <x v="116"/>
    <x v="1"/>
    <x v="216"/>
    <n v="0.1"/>
    <x v="214"/>
  </r>
  <r>
    <x v="6"/>
    <x v="14"/>
    <x v="117"/>
    <x v="1"/>
    <x v="217"/>
    <n v="0.1"/>
    <x v="215"/>
  </r>
  <r>
    <x v="6"/>
    <x v="14"/>
    <x v="118"/>
    <x v="1"/>
    <x v="218"/>
    <n v="0.1"/>
    <x v="216"/>
  </r>
  <r>
    <x v="6"/>
    <x v="14"/>
    <x v="119"/>
    <x v="1"/>
    <x v="219"/>
    <n v="0.1"/>
    <x v="217"/>
  </r>
  <r>
    <x v="6"/>
    <x v="14"/>
    <x v="120"/>
    <x v="1"/>
    <x v="220"/>
    <n v="0.1"/>
    <x v="218"/>
  </r>
  <r>
    <x v="6"/>
    <x v="14"/>
    <x v="121"/>
    <x v="1"/>
    <x v="221"/>
    <n v="0.1"/>
    <x v="219"/>
  </r>
  <r>
    <x v="7"/>
    <x v="15"/>
    <x v="125"/>
    <x v="1"/>
    <x v="222"/>
    <n v="0.1"/>
    <x v="220"/>
  </r>
  <r>
    <x v="8"/>
    <x v="16"/>
    <x v="126"/>
    <x v="1"/>
    <x v="2"/>
    <n v="0.1"/>
    <x v="2"/>
  </r>
  <r>
    <x v="8"/>
    <x v="16"/>
    <x v="127"/>
    <x v="1"/>
    <x v="2"/>
    <n v="0.1"/>
    <x v="2"/>
  </r>
  <r>
    <x v="8"/>
    <x v="16"/>
    <x v="128"/>
    <x v="1"/>
    <x v="223"/>
    <n v="0.1"/>
    <x v="2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E9762-1CB9-4F87-88F4-E6866E898EE9}" name="Tabela dinâmica5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7" indent="0" outline="1" outlineData="1" multipleFieldFilters="0" chartFormat="2" customListSort="0">
  <location ref="A1:C3" firstHeaderRow="0" firstDataRow="1" firstDataCol="1"/>
  <pivotFields count="7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dataField="1" showAll="0">
      <items count="225">
        <item h="1" x="2"/>
        <item h="1" x="118"/>
        <item h="1" x="11"/>
        <item h="1" x="10"/>
        <item h="1" x="147"/>
        <item h="1" x="35"/>
        <item h="1" x="120"/>
        <item h="1" x="86"/>
        <item h="1" x="107"/>
        <item h="1" x="12"/>
        <item h="1" x="214"/>
        <item h="1" x="119"/>
        <item h="1" x="124"/>
        <item x="6"/>
        <item h="1" x="205"/>
        <item h="1" x="81"/>
        <item h="1" x="210"/>
        <item h="1" x="123"/>
        <item h="1" x="76"/>
        <item h="1" x="8"/>
        <item h="1" x="9"/>
        <item h="1" x="146"/>
        <item h="1" x="98"/>
        <item h="1" x="34"/>
        <item h="1" x="186"/>
        <item h="1" x="38"/>
        <item h="1" x="51"/>
        <item h="1" x="31"/>
        <item h="1" x="149"/>
        <item h="1" x="150"/>
        <item h="1" x="78"/>
        <item h="1" x="103"/>
        <item h="1" x="37"/>
        <item h="1" x="91"/>
        <item h="1" x="190"/>
        <item h="1" x="188"/>
        <item h="1" x="148"/>
        <item h="1" x="151"/>
        <item h="1" x="198"/>
        <item h="1" x="143"/>
        <item h="1" x="100"/>
        <item h="1" x="36"/>
        <item h="1" x="39"/>
        <item h="1" x="7"/>
        <item h="1" x="80"/>
        <item h="1" x="84"/>
        <item h="1" x="30"/>
        <item h="1" x="141"/>
        <item h="1" x="29"/>
        <item h="1" x="152"/>
        <item h="1" x="195"/>
        <item h="1" x="40"/>
        <item h="1" x="173"/>
        <item h="1" x="65"/>
        <item h="1" x="88"/>
        <item h="1" x="115"/>
        <item h="1" x="41"/>
        <item h="1" x="175"/>
        <item h="1" x="99"/>
        <item h="1" x="28"/>
        <item h="1" x="140"/>
        <item h="1" x="63"/>
        <item h="1" x="0"/>
        <item h="1" x="178"/>
        <item h="1" x="153"/>
        <item h="1" x="192"/>
        <item h="1" x="68"/>
        <item h="1" x="180"/>
        <item h="1" x="83"/>
        <item h="1" x="181"/>
        <item h="1" x="43"/>
        <item h="1" x="97"/>
        <item h="1" x="108"/>
        <item h="1" x="82"/>
        <item h="1" x="70"/>
        <item h="1" x="191"/>
        <item h="1" x="155"/>
        <item h="1" x="62"/>
        <item h="1" x="3"/>
        <item h="1" x="154"/>
        <item h="1" x="71"/>
        <item h="1" x="172"/>
        <item h="1" x="33"/>
        <item h="1" x="142"/>
        <item h="1" x="125"/>
        <item h="1" x="42"/>
        <item h="1" x="145"/>
        <item h="1" x="200"/>
        <item h="1" x="126"/>
        <item h="1" x="194"/>
        <item h="1" x="87"/>
        <item h="1" x="32"/>
        <item h="1" x="52"/>
        <item h="1" x="132"/>
        <item h="1" x="162"/>
        <item h="1" x="96"/>
        <item h="1" x="144"/>
        <item h="1" x="5"/>
        <item h="1" x="208"/>
        <item h="1" x="95"/>
        <item h="1" x="20"/>
        <item h="1" x="211"/>
        <item h="1" x="4"/>
        <item h="1" x="133"/>
        <item h="1" x="21"/>
        <item h="1" x="13"/>
        <item h="1" x="105"/>
        <item h="1" x="101"/>
        <item h="1" x="134"/>
        <item h="1" x="138"/>
        <item h="1" x="222"/>
        <item h="1" x="128"/>
        <item h="1" x="164"/>
        <item h="1" x="212"/>
        <item h="1" x="22"/>
        <item h="1" x="26"/>
        <item h="1" x="92"/>
        <item h="1" x="163"/>
        <item h="1" x="189"/>
        <item h="1" x="122"/>
        <item h="1" x="131"/>
        <item h="1" x="16"/>
        <item h="1" x="79"/>
        <item h="1" x="156"/>
        <item h="1" x="135"/>
        <item h="1" x="187"/>
        <item h="1" x="77"/>
        <item h="1" x="161"/>
        <item h="1" x="23"/>
        <item h="1" x="136"/>
        <item h="1" x="19"/>
        <item h="1" x="159"/>
        <item h="1" x="112"/>
        <item h="1" x="48"/>
        <item h="1" x="202"/>
        <item h="1" x="24"/>
        <item h="1" x="219"/>
        <item h="1" x="204"/>
        <item h="1" x="110"/>
        <item h="1" x="165"/>
        <item h="1" x="217"/>
        <item h="1" x="27"/>
        <item h="1" x="93"/>
        <item h="1" x="171"/>
        <item h="1" x="49"/>
        <item h="1" x="160"/>
        <item h="1" x="121"/>
        <item h="1" x="221"/>
        <item h="1" x="1"/>
        <item h="1" x="61"/>
        <item h="1" x="53"/>
        <item h="1" x="215"/>
        <item h="1" x="213"/>
        <item h="1" x="207"/>
        <item h="1" x="223"/>
        <item h="1" x="54"/>
        <item h="1" x="206"/>
        <item h="1" x="166"/>
        <item h="1" x="137"/>
        <item h="1" x="139"/>
        <item h="1" x="203"/>
        <item h="1" x="183"/>
        <item h="1" x="169"/>
        <item h="1" x="193"/>
        <item h="1" x="117"/>
        <item h="1" x="177"/>
        <item h="1" x="116"/>
        <item h="1" x="85"/>
        <item h="1" x="67"/>
        <item h="1" x="73"/>
        <item h="1" x="209"/>
        <item h="1" x="102"/>
        <item h="1" x="57"/>
        <item h="1" x="157"/>
        <item h="1" x="25"/>
        <item h="1" x="185"/>
        <item h="1" x="59"/>
        <item h="1" x="104"/>
        <item h="1" x="46"/>
        <item h="1" x="158"/>
        <item h="1" x="75"/>
        <item h="1" x="14"/>
        <item h="1" x="55"/>
        <item h="1" x="176"/>
        <item h="1" x="196"/>
        <item h="1" x="114"/>
        <item h="1" x="56"/>
        <item h="1" x="201"/>
        <item h="1" x="182"/>
        <item h="1" x="66"/>
        <item h="1" x="179"/>
        <item h="1" x="64"/>
        <item h="1" x="89"/>
        <item h="1" x="167"/>
        <item h="1" x="72"/>
        <item h="1" x="130"/>
        <item h="1" x="50"/>
        <item h="1" x="69"/>
        <item h="1" x="218"/>
        <item h="1" x="111"/>
        <item h="1" x="47"/>
        <item h="1" x="174"/>
        <item h="1" x="216"/>
        <item h="1" x="18"/>
        <item h="1" x="129"/>
        <item h="1" x="184"/>
        <item h="1" x="74"/>
        <item h="1" x="17"/>
        <item h="1" x="220"/>
        <item h="1" x="199"/>
        <item h="1" x="45"/>
        <item h="1" x="60"/>
        <item h="1" x="170"/>
        <item h="1" x="109"/>
        <item h="1" x="106"/>
        <item h="1" x="113"/>
        <item h="1" x="94"/>
        <item h="1" x="127"/>
        <item h="1" x="168"/>
        <item h="1" x="58"/>
        <item h="1" x="15"/>
        <item h="1" x="90"/>
        <item h="1" x="197"/>
        <item h="1" x="44"/>
        <item t="default"/>
      </items>
    </pivotField>
    <pivotField numFmtId="10" showAll="0"/>
    <pivotField dataField="1" numFmtId="44" showAll="0">
      <items count="223">
        <item x="2"/>
        <item x="116"/>
        <item x="11"/>
        <item x="10"/>
        <item x="145"/>
        <item x="35"/>
        <item x="118"/>
        <item x="105"/>
        <item x="50"/>
        <item x="12"/>
        <item x="212"/>
        <item x="117"/>
        <item x="144"/>
        <item x="122"/>
        <item x="6"/>
        <item x="203"/>
        <item x="34"/>
        <item x="80"/>
        <item x="38"/>
        <item x="31"/>
        <item x="208"/>
        <item x="121"/>
        <item x="75"/>
        <item x="147"/>
        <item x="8"/>
        <item x="9"/>
        <item x="148"/>
        <item x="96"/>
        <item x="184"/>
        <item x="37"/>
        <item x="146"/>
        <item x="149"/>
        <item x="141"/>
        <item x="77"/>
        <item x="101"/>
        <item x="171"/>
        <item x="64"/>
        <item x="173"/>
        <item x="36"/>
        <item x="39"/>
        <item x="62"/>
        <item x="89"/>
        <item x="188"/>
        <item x="186"/>
        <item x="196"/>
        <item x="176"/>
        <item x="98"/>
        <item x="67"/>
        <item x="30"/>
        <item x="7"/>
        <item x="139"/>
        <item x="79"/>
        <item x="29"/>
        <item x="150"/>
        <item x="178"/>
        <item x="83"/>
        <item x="179"/>
        <item x="40"/>
        <item x="69"/>
        <item x="41"/>
        <item x="28"/>
        <item x="61"/>
        <item x="138"/>
        <item x="193"/>
        <item x="70"/>
        <item x="170"/>
        <item x="151"/>
        <item x="86"/>
        <item x="113"/>
        <item x="97"/>
        <item x="51"/>
        <item x="0"/>
        <item x="160"/>
        <item x="190"/>
        <item x="43"/>
        <item x="153"/>
        <item x="152"/>
        <item x="82"/>
        <item x="33"/>
        <item x="140"/>
        <item x="95"/>
        <item x="106"/>
        <item x="42"/>
        <item x="81"/>
        <item x="143"/>
        <item x="189"/>
        <item x="162"/>
        <item x="161"/>
        <item x="3"/>
        <item x="32"/>
        <item x="154"/>
        <item x="130"/>
        <item x="123"/>
        <item x="159"/>
        <item x="142"/>
        <item x="198"/>
        <item x="124"/>
        <item x="192"/>
        <item x="157"/>
        <item x="47"/>
        <item x="85"/>
        <item x="20"/>
        <item x="131"/>
        <item x="94"/>
        <item x="21"/>
        <item x="163"/>
        <item x="132"/>
        <item x="136"/>
        <item x="169"/>
        <item x="5"/>
        <item x="48"/>
        <item x="158"/>
        <item x="206"/>
        <item x="22"/>
        <item x="93"/>
        <item x="26"/>
        <item x="209"/>
        <item x="4"/>
        <item x="60"/>
        <item x="52"/>
        <item x="129"/>
        <item x="133"/>
        <item x="13"/>
        <item x="103"/>
        <item x="99"/>
        <item x="53"/>
        <item x="220"/>
        <item x="23"/>
        <item x="126"/>
        <item x="164"/>
        <item x="181"/>
        <item x="167"/>
        <item x="134"/>
        <item x="210"/>
        <item x="19"/>
        <item x="175"/>
        <item x="90"/>
        <item x="187"/>
        <item x="120"/>
        <item x="66"/>
        <item x="72"/>
        <item x="24"/>
        <item x="16"/>
        <item x="78"/>
        <item x="56"/>
        <item x="155"/>
        <item x="185"/>
        <item x="76"/>
        <item x="58"/>
        <item x="27"/>
        <item x="45"/>
        <item x="156"/>
        <item x="54"/>
        <item x="174"/>
        <item x="110"/>
        <item x="200"/>
        <item x="55"/>
        <item x="180"/>
        <item x="217"/>
        <item x="65"/>
        <item x="202"/>
        <item x="177"/>
        <item x="63"/>
        <item x="108"/>
        <item x="165"/>
        <item x="71"/>
        <item x="215"/>
        <item x="91"/>
        <item x="49"/>
        <item x="68"/>
        <item x="46"/>
        <item x="135"/>
        <item x="137"/>
        <item x="172"/>
        <item x="119"/>
        <item x="219"/>
        <item x="1"/>
        <item x="182"/>
        <item x="73"/>
        <item x="213"/>
        <item x="211"/>
        <item x="205"/>
        <item x="25"/>
        <item x="221"/>
        <item x="204"/>
        <item x="201"/>
        <item x="191"/>
        <item x="115"/>
        <item x="114"/>
        <item x="84"/>
        <item x="207"/>
        <item x="100"/>
        <item x="44"/>
        <item x="59"/>
        <item x="168"/>
        <item x="183"/>
        <item x="128"/>
        <item x="102"/>
        <item x="74"/>
        <item x="14"/>
        <item x="194"/>
        <item x="112"/>
        <item x="18"/>
        <item x="199"/>
        <item x="166"/>
        <item x="127"/>
        <item x="57"/>
        <item x="87"/>
        <item x="17"/>
        <item x="216"/>
        <item x="109"/>
        <item x="214"/>
        <item x="218"/>
        <item x="197"/>
        <item x="107"/>
        <item x="104"/>
        <item x="111"/>
        <item x="92"/>
        <item x="125"/>
        <item x="15"/>
        <item x="88"/>
        <item x="195"/>
        <item t="default"/>
      </items>
    </pivotField>
  </pivotFields>
  <rowFields count="1">
    <field x="3"/>
  </rowFields>
  <rowItems count="2">
    <i>
      <x/>
    </i>
    <i>
      <x v="1"/>
    </i>
  </rowItems>
  <colFields count="1">
    <field x="-2"/>
  </colFields>
  <colItems count="2">
    <i>
      <x/>
    </i>
    <i i="1">
      <x v="1"/>
    </i>
  </colItems>
  <dataFields count="2">
    <dataField name="Soma de Valor a Pagar para Gerador (R$)" fld="4" baseField="0" baseItem="0" numFmtId="44"/>
    <dataField name="Soma de Valor da Gestão (R$)" fld="6" baseField="0" baseItem="0" numFmtId="44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4789AD-D5B1-4BDB-8870-634F2C2242B1}" name="Tabela dinâmica6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7" indent="0" outline="1" outlineData="1" multipleFieldFilters="0" chartFormat="7" customListSort="0">
  <location ref="A5:C14" firstHeaderRow="0" firstDataRow="1" firstDataCol="1"/>
  <pivotFields count="7">
    <pivotField axis="axisRow" showAll="0">
      <items count="10">
        <item sd="0" x="8"/>
        <item sd="0" x="7"/>
        <item sd="0" x="0"/>
        <item sd="0" x="5"/>
        <item sd="0" x="4"/>
        <item sd="0" x="3"/>
        <item sd="0" x="1"/>
        <item sd="0" x="6"/>
        <item sd="0" x="2"/>
        <item t="default"/>
      </items>
    </pivotField>
    <pivotField axis="axisRow" showAll="0">
      <items count="18">
        <item sd="0" x="16"/>
        <item x="1"/>
        <item x="0"/>
        <item x="5"/>
        <item x="4"/>
        <item x="15"/>
        <item x="11"/>
        <item x="6"/>
        <item x="9"/>
        <item x="2"/>
        <item x="13"/>
        <item x="3"/>
        <item x="10"/>
        <item x="12"/>
        <item sd="0" x="7"/>
        <item x="14"/>
        <item x="8"/>
        <item t="default"/>
      </items>
    </pivotField>
    <pivotField axis="axisRow" showAll="0">
      <items count="130">
        <item x="52"/>
        <item x="57"/>
        <item x="53"/>
        <item x="111"/>
        <item x="113"/>
        <item x="114"/>
        <item x="116"/>
        <item x="110"/>
        <item x="109"/>
        <item x="115"/>
        <item x="112"/>
        <item x="11"/>
        <item x="55"/>
        <item x="9"/>
        <item x="10"/>
        <item x="8"/>
        <item x="5"/>
        <item x="6"/>
        <item x="123"/>
        <item x="4"/>
        <item x="12"/>
        <item x="2"/>
        <item x="3"/>
        <item x="7"/>
        <item x="54"/>
        <item x="51"/>
        <item x="50"/>
        <item x="49"/>
        <item x="66"/>
        <item x="48"/>
        <item x="61"/>
        <item x="47"/>
        <item x="124"/>
        <item x="63"/>
        <item x="62"/>
        <item x="46"/>
        <item x="60"/>
        <item x="45"/>
        <item x="44"/>
        <item x="67"/>
        <item x="58"/>
        <item x="125"/>
        <item x="76"/>
        <item x="77"/>
        <item x="83"/>
        <item x="84"/>
        <item x="17"/>
        <item x="87"/>
        <item x="117"/>
        <item x="78"/>
        <item x="93"/>
        <item x="94"/>
        <item x="72"/>
        <item x="70"/>
        <item x="71"/>
        <item x="73"/>
        <item x="13"/>
        <item x="95"/>
        <item x="128"/>
        <item x="126"/>
        <item x="127"/>
        <item x="31"/>
        <item x="56"/>
        <item x="34"/>
        <item x="36"/>
        <item x="37"/>
        <item x="35"/>
        <item x="40"/>
        <item x="41"/>
        <item x="38"/>
        <item x="39"/>
        <item x="68"/>
        <item x="69"/>
        <item x="120"/>
        <item x="82"/>
        <item x="79"/>
        <item x="42"/>
        <item x="43"/>
        <item x="32"/>
        <item x="65"/>
        <item x="118"/>
        <item x="119"/>
        <item x="86"/>
        <item x="89"/>
        <item x="85"/>
        <item x="64"/>
        <item x="88"/>
        <item x="74"/>
        <item x="75"/>
        <item x="81"/>
        <item x="0"/>
        <item x="59"/>
        <item x="92"/>
        <item x="102"/>
        <item x="100"/>
        <item x="106"/>
        <item x="104"/>
        <item x="105"/>
        <item x="103"/>
        <item x="101"/>
        <item x="96"/>
        <item x="98"/>
        <item x="99"/>
        <item x="97"/>
        <item x="14"/>
        <item x="91"/>
        <item x="18"/>
        <item x="21"/>
        <item x="22"/>
        <item x="19"/>
        <item x="20"/>
        <item x="90"/>
        <item x="80"/>
        <item x="1"/>
        <item x="122"/>
        <item x="30"/>
        <item x="33"/>
        <item x="107"/>
        <item x="108"/>
        <item x="121"/>
        <item x="23"/>
        <item x="25"/>
        <item x="26"/>
        <item x="24"/>
        <item x="27"/>
        <item x="15"/>
        <item x="16"/>
        <item x="28"/>
        <item x="29"/>
        <item t="default"/>
      </items>
    </pivotField>
    <pivotField showAll="0">
      <items count="3">
        <item x="0"/>
        <item x="1"/>
        <item t="default"/>
      </items>
    </pivotField>
    <pivotField dataField="1" showAll="0"/>
    <pivotField numFmtId="10" showAll="0"/>
    <pivotField dataField="1" numFmtId="44" showAll="0"/>
  </pivotFields>
  <rowFields count="3">
    <field x="0"/>
    <field x="1"/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2">
    <i>
      <x/>
    </i>
    <i i="1">
      <x v="1"/>
    </i>
  </colItems>
  <dataFields count="2">
    <dataField name="Soma de Valor a Pagar para Gerador (R$)" fld="4" baseField="0" baseItem="0" numFmtId="44"/>
    <dataField name="Soma de Valor da Gestão (R$)" fld="6" baseField="0" baseItem="0" numFmtId="44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6"/>
  <sheetViews>
    <sheetView topLeftCell="A206" workbookViewId="0">
      <selection activeCell="E2" sqref="E2:E246"/>
    </sheetView>
  </sheetViews>
  <sheetFormatPr defaultRowHeight="14.4" x14ac:dyDescent="0.3"/>
  <cols>
    <col min="1" max="1" width="19.33203125" style="5" bestFit="1" customWidth="1"/>
    <col min="2" max="2" width="23.77734375" style="5" bestFit="1" customWidth="1"/>
    <col min="3" max="3" width="33.21875" style="5" bestFit="1" customWidth="1"/>
    <col min="4" max="4" width="12.33203125" style="5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13" t="s">
        <v>0</v>
      </c>
      <c r="B1" s="13" t="s">
        <v>1</v>
      </c>
      <c r="C1" s="13" t="s">
        <v>2</v>
      </c>
      <c r="D1" s="13" t="s">
        <v>161</v>
      </c>
      <c r="E1" s="14" t="s">
        <v>149</v>
      </c>
      <c r="F1" s="15" t="s">
        <v>150</v>
      </c>
      <c r="G1" s="14" t="s">
        <v>3</v>
      </c>
    </row>
    <row r="2" spans="1:7" x14ac:dyDescent="0.3">
      <c r="A2" s="3" t="s">
        <v>4</v>
      </c>
      <c r="B2" s="3" t="s">
        <v>5</v>
      </c>
      <c r="C2" s="3" t="s">
        <v>6</v>
      </c>
      <c r="D2" s="3" t="s">
        <v>148</v>
      </c>
      <c r="E2" s="2">
        <v>719.55</v>
      </c>
      <c r="F2" s="1">
        <v>0.1</v>
      </c>
      <c r="G2" s="2">
        <f>E2*F2</f>
        <v>71.954999999999998</v>
      </c>
    </row>
    <row r="3" spans="1:7" x14ac:dyDescent="0.3">
      <c r="A3" s="3" t="s">
        <v>4</v>
      </c>
      <c r="B3" s="3" t="s">
        <v>7</v>
      </c>
      <c r="C3" s="3" t="s">
        <v>8</v>
      </c>
      <c r="D3" s="3" t="s">
        <v>148</v>
      </c>
      <c r="E3" s="2">
        <v>3411.2</v>
      </c>
      <c r="F3" s="1">
        <v>0.1</v>
      </c>
      <c r="G3" s="2">
        <f>E3*F3</f>
        <v>341.12</v>
      </c>
    </row>
    <row r="4" spans="1:7" x14ac:dyDescent="0.3">
      <c r="A4" s="3" t="s">
        <v>4</v>
      </c>
      <c r="B4" s="3" t="s">
        <v>7</v>
      </c>
      <c r="C4" s="3" t="s">
        <v>9</v>
      </c>
      <c r="D4" s="3" t="s">
        <v>148</v>
      </c>
      <c r="E4" s="2">
        <v>0</v>
      </c>
      <c r="F4" s="1">
        <v>0.1</v>
      </c>
      <c r="G4" s="2">
        <v>0</v>
      </c>
    </row>
    <row r="5" spans="1:7" x14ac:dyDescent="0.3">
      <c r="A5" s="3" t="s">
        <v>4</v>
      </c>
      <c r="B5" s="3" t="s">
        <v>7</v>
      </c>
      <c r="C5" s="3" t="s">
        <v>10</v>
      </c>
      <c r="D5" s="3" t="s">
        <v>148</v>
      </c>
      <c r="E5" s="2">
        <v>1082.64832</v>
      </c>
      <c r="F5" s="1">
        <v>0.1</v>
      </c>
      <c r="G5" s="2">
        <f t="shared" ref="G5:G36" si="0">E5*F5</f>
        <v>108.26483200000001</v>
      </c>
    </row>
    <row r="6" spans="1:7" x14ac:dyDescent="0.3">
      <c r="A6" s="3" t="s">
        <v>4</v>
      </c>
      <c r="B6" s="3" t="s">
        <v>11</v>
      </c>
      <c r="C6" s="3" t="s">
        <v>10</v>
      </c>
      <c r="D6" s="3" t="s">
        <v>148</v>
      </c>
      <c r="E6" s="2">
        <v>1726.95</v>
      </c>
      <c r="F6" s="1">
        <v>0.1</v>
      </c>
      <c r="G6" s="2">
        <f t="shared" si="0"/>
        <v>172.69500000000002</v>
      </c>
    </row>
    <row r="7" spans="1:7" x14ac:dyDescent="0.3">
      <c r="A7" s="3" t="s">
        <v>4</v>
      </c>
      <c r="B7" s="3" t="s">
        <v>11</v>
      </c>
      <c r="C7" s="3" t="s">
        <v>12</v>
      </c>
      <c r="D7" s="3" t="s">
        <v>148</v>
      </c>
      <c r="E7" s="2">
        <v>1540.41</v>
      </c>
      <c r="F7" s="1">
        <v>0.1</v>
      </c>
      <c r="G7" s="2">
        <f t="shared" si="0"/>
        <v>154.04100000000003</v>
      </c>
    </row>
    <row r="8" spans="1:7" x14ac:dyDescent="0.3">
      <c r="A8" s="3" t="s">
        <v>4</v>
      </c>
      <c r="B8" s="3" t="s">
        <v>11</v>
      </c>
      <c r="C8" s="3" t="s">
        <v>13</v>
      </c>
      <c r="D8" s="3" t="s">
        <v>148</v>
      </c>
      <c r="E8" s="2">
        <v>199.04</v>
      </c>
      <c r="F8" s="1">
        <v>0.1</v>
      </c>
      <c r="G8" s="2">
        <f t="shared" si="0"/>
        <v>19.904</v>
      </c>
    </row>
    <row r="9" spans="1:7" x14ac:dyDescent="0.3">
      <c r="A9" s="3" t="s">
        <v>4</v>
      </c>
      <c r="B9" s="3" t="s">
        <v>14</v>
      </c>
      <c r="C9" s="3" t="s">
        <v>15</v>
      </c>
      <c r="D9" s="3" t="s">
        <v>148</v>
      </c>
      <c r="E9" s="2">
        <v>418.84</v>
      </c>
      <c r="F9" s="1">
        <v>0.1</v>
      </c>
      <c r="G9" s="2">
        <f t="shared" si="0"/>
        <v>41.884</v>
      </c>
    </row>
    <row r="10" spans="1:7" x14ac:dyDescent="0.3">
      <c r="A10" s="3" t="s">
        <v>4</v>
      </c>
      <c r="B10" s="3" t="s">
        <v>14</v>
      </c>
      <c r="C10" s="3" t="s">
        <v>16</v>
      </c>
      <c r="D10" s="3" t="s">
        <v>148</v>
      </c>
      <c r="E10" s="2">
        <v>0</v>
      </c>
      <c r="F10" s="1">
        <v>0.1</v>
      </c>
      <c r="G10" s="2">
        <f t="shared" si="0"/>
        <v>0</v>
      </c>
    </row>
    <row r="11" spans="1:7" x14ac:dyDescent="0.3">
      <c r="A11" s="3" t="s">
        <v>4</v>
      </c>
      <c r="B11" s="3" t="s">
        <v>14</v>
      </c>
      <c r="C11" s="3" t="s">
        <v>12</v>
      </c>
      <c r="D11" s="3" t="s">
        <v>148</v>
      </c>
      <c r="E11" s="2">
        <v>218.73</v>
      </c>
      <c r="F11" s="1">
        <v>0.1</v>
      </c>
      <c r="G11" s="2">
        <f t="shared" si="0"/>
        <v>21.873000000000001</v>
      </c>
    </row>
    <row r="12" spans="1:7" x14ac:dyDescent="0.3">
      <c r="A12" s="3" t="s">
        <v>4</v>
      </c>
      <c r="B12" s="3" t="s">
        <v>14</v>
      </c>
      <c r="C12" s="3" t="s">
        <v>17</v>
      </c>
      <c r="D12" s="3" t="s">
        <v>148</v>
      </c>
      <c r="E12" s="2">
        <v>219.7</v>
      </c>
      <c r="F12" s="1">
        <v>0.1</v>
      </c>
      <c r="G12" s="2">
        <f t="shared" si="0"/>
        <v>21.97</v>
      </c>
    </row>
    <row r="13" spans="1:7" x14ac:dyDescent="0.3">
      <c r="A13" s="3" t="s">
        <v>4</v>
      </c>
      <c r="B13" s="3" t="s">
        <v>14</v>
      </c>
      <c r="C13" s="3" t="s">
        <v>18</v>
      </c>
      <c r="D13" s="3" t="s">
        <v>148</v>
      </c>
      <c r="E13" s="2">
        <v>46.72</v>
      </c>
      <c r="F13" s="1">
        <v>0.1</v>
      </c>
      <c r="G13" s="2">
        <f t="shared" si="0"/>
        <v>4.6719999999999997</v>
      </c>
    </row>
    <row r="14" spans="1:7" x14ac:dyDescent="0.3">
      <c r="A14" s="3" t="s">
        <v>4</v>
      </c>
      <c r="B14" s="3" t="s">
        <v>14</v>
      </c>
      <c r="C14" s="3" t="s">
        <v>19</v>
      </c>
      <c r="D14" s="3" t="s">
        <v>148</v>
      </c>
      <c r="E14" s="2">
        <v>31.85</v>
      </c>
      <c r="F14" s="1">
        <v>0.1</v>
      </c>
      <c r="G14" s="2">
        <f t="shared" si="0"/>
        <v>3.1850000000000005</v>
      </c>
    </row>
    <row r="15" spans="1:7" x14ac:dyDescent="0.3">
      <c r="A15" s="3" t="s">
        <v>4</v>
      </c>
      <c r="B15" s="3" t="s">
        <v>14</v>
      </c>
      <c r="C15" s="3" t="s">
        <v>20</v>
      </c>
      <c r="D15" s="3" t="s">
        <v>148</v>
      </c>
      <c r="E15" s="2">
        <v>151.68</v>
      </c>
      <c r="F15" s="1">
        <v>0.1</v>
      </c>
      <c r="G15" s="2">
        <f t="shared" si="0"/>
        <v>15.168000000000001</v>
      </c>
    </row>
    <row r="16" spans="1:7" x14ac:dyDescent="0.3">
      <c r="A16" s="3" t="s">
        <v>4</v>
      </c>
      <c r="B16" s="3" t="s">
        <v>14</v>
      </c>
      <c r="C16" s="3" t="s">
        <v>21</v>
      </c>
      <c r="D16" s="3" t="s">
        <v>148</v>
      </c>
      <c r="E16" s="2">
        <v>1828.45</v>
      </c>
      <c r="F16" s="1">
        <v>0.1</v>
      </c>
      <c r="G16" s="2">
        <f t="shared" si="0"/>
        <v>182.84500000000003</v>
      </c>
    </row>
    <row r="17" spans="1:7" x14ac:dyDescent="0.3">
      <c r="A17" s="3" t="s">
        <v>4</v>
      </c>
      <c r="B17" s="3" t="s">
        <v>22</v>
      </c>
      <c r="C17" s="3" t="s">
        <v>23</v>
      </c>
      <c r="D17" s="3" t="s">
        <v>148</v>
      </c>
      <c r="E17" s="2">
        <v>0</v>
      </c>
      <c r="F17" s="1">
        <v>0.1</v>
      </c>
      <c r="G17" s="2">
        <f t="shared" si="0"/>
        <v>0</v>
      </c>
    </row>
    <row r="18" spans="1:7" x14ac:dyDescent="0.3">
      <c r="A18" s="3" t="s">
        <v>4</v>
      </c>
      <c r="B18" s="3" t="s">
        <v>24</v>
      </c>
      <c r="C18" s="3" t="s">
        <v>25</v>
      </c>
      <c r="D18" s="3" t="s">
        <v>148</v>
      </c>
      <c r="E18" s="2">
        <v>5198.8999999999996</v>
      </c>
      <c r="F18" s="1">
        <v>0.1</v>
      </c>
      <c r="G18" s="2">
        <f t="shared" si="0"/>
        <v>519.89</v>
      </c>
    </row>
    <row r="19" spans="1:7" x14ac:dyDescent="0.3">
      <c r="A19" s="3" t="s">
        <v>4</v>
      </c>
      <c r="B19" s="3" t="s">
        <v>26</v>
      </c>
      <c r="C19" s="3" t="s">
        <v>25</v>
      </c>
      <c r="D19" s="3" t="s">
        <v>148</v>
      </c>
      <c r="E19" s="2">
        <v>5198.8999999999996</v>
      </c>
      <c r="F19" s="1">
        <v>0.1</v>
      </c>
      <c r="G19" s="2">
        <f t="shared" si="0"/>
        <v>519.89</v>
      </c>
    </row>
    <row r="20" spans="1:7" x14ac:dyDescent="0.3">
      <c r="A20" s="3" t="s">
        <v>27</v>
      </c>
      <c r="B20" s="3" t="s">
        <v>28</v>
      </c>
      <c r="C20" s="3" t="s">
        <v>29</v>
      </c>
      <c r="D20" s="3" t="s">
        <v>148</v>
      </c>
      <c r="E20" s="2">
        <v>11686.48</v>
      </c>
      <c r="F20" s="1">
        <v>0.1</v>
      </c>
      <c r="G20" s="2">
        <f t="shared" si="0"/>
        <v>1168.6479999999999</v>
      </c>
    </row>
    <row r="21" spans="1:7" x14ac:dyDescent="0.3">
      <c r="A21" s="3" t="s">
        <v>27</v>
      </c>
      <c r="B21" s="3" t="s">
        <v>28</v>
      </c>
      <c r="C21" s="3" t="s">
        <v>30</v>
      </c>
      <c r="D21" s="3" t="s">
        <v>148</v>
      </c>
      <c r="E21" s="2">
        <v>2248.5100000000002</v>
      </c>
      <c r="F21" s="1">
        <v>0.1</v>
      </c>
      <c r="G21" s="2">
        <f t="shared" si="0"/>
        <v>224.85100000000003</v>
      </c>
    </row>
    <row r="22" spans="1:7" x14ac:dyDescent="0.3">
      <c r="A22" s="3" t="s">
        <v>31</v>
      </c>
      <c r="B22" s="3" t="s">
        <v>32</v>
      </c>
      <c r="C22" s="3" t="s">
        <v>33</v>
      </c>
      <c r="D22" s="3" t="s">
        <v>148</v>
      </c>
      <c r="E22" s="2">
        <v>7392.64</v>
      </c>
      <c r="F22" s="1">
        <v>0.08</v>
      </c>
      <c r="G22" s="2">
        <f t="shared" si="0"/>
        <v>591.41120000000001</v>
      </c>
    </row>
    <row r="23" spans="1:7" x14ac:dyDescent="0.3">
      <c r="A23" s="3" t="s">
        <v>31</v>
      </c>
      <c r="B23" s="3" t="s">
        <v>32</v>
      </c>
      <c r="C23" s="3" t="s">
        <v>34</v>
      </c>
      <c r="D23" s="3" t="s">
        <v>148</v>
      </c>
      <c r="E23" s="2">
        <v>6910.72</v>
      </c>
      <c r="F23" s="1">
        <v>0.08</v>
      </c>
      <c r="G23" s="2">
        <f t="shared" si="0"/>
        <v>552.85760000000005</v>
      </c>
    </row>
    <row r="24" spans="1:7" x14ac:dyDescent="0.3">
      <c r="A24" s="3" t="s">
        <v>31</v>
      </c>
      <c r="B24" s="3" t="s">
        <v>32</v>
      </c>
      <c r="C24" s="3" t="s">
        <v>35</v>
      </c>
      <c r="D24" s="3" t="s">
        <v>148</v>
      </c>
      <c r="E24" s="2">
        <v>2600.96</v>
      </c>
      <c r="F24" s="1">
        <v>0.08</v>
      </c>
      <c r="G24" s="2">
        <f t="shared" si="0"/>
        <v>208.07680000000002</v>
      </c>
    </row>
    <row r="25" spans="1:7" x14ac:dyDescent="0.3">
      <c r="A25" s="3" t="s">
        <v>31</v>
      </c>
      <c r="B25" s="3" t="s">
        <v>32</v>
      </c>
      <c r="C25" s="3" t="s">
        <v>36</v>
      </c>
      <c r="D25" s="3" t="s">
        <v>148</v>
      </c>
      <c r="E25" s="2">
        <v>1721.6</v>
      </c>
      <c r="F25" s="1">
        <v>0.08</v>
      </c>
      <c r="G25" s="2">
        <f t="shared" si="0"/>
        <v>137.72800000000001</v>
      </c>
    </row>
    <row r="26" spans="1:7" x14ac:dyDescent="0.3">
      <c r="A26" s="3" t="s">
        <v>31</v>
      </c>
      <c r="B26" s="3" t="s">
        <v>32</v>
      </c>
      <c r="C26" s="3" t="s">
        <v>37</v>
      </c>
      <c r="D26" s="3" t="s">
        <v>148</v>
      </c>
      <c r="E26" s="2">
        <v>1824</v>
      </c>
      <c r="F26" s="1">
        <v>0.08</v>
      </c>
      <c r="G26" s="2">
        <f t="shared" si="0"/>
        <v>145.92000000000002</v>
      </c>
    </row>
    <row r="27" spans="1:7" x14ac:dyDescent="0.3">
      <c r="A27" s="3" t="s">
        <v>31</v>
      </c>
      <c r="B27" s="3" t="s">
        <v>32</v>
      </c>
      <c r="C27" s="3" t="s">
        <v>38</v>
      </c>
      <c r="D27" s="3" t="s">
        <v>148</v>
      </c>
      <c r="E27" s="2">
        <v>2100.6</v>
      </c>
      <c r="F27" s="1">
        <v>0.08</v>
      </c>
      <c r="G27" s="2">
        <f t="shared" si="0"/>
        <v>168.048</v>
      </c>
    </row>
    <row r="28" spans="1:7" x14ac:dyDescent="0.3">
      <c r="A28" s="3" t="s">
        <v>31</v>
      </c>
      <c r="B28" s="3" t="s">
        <v>32</v>
      </c>
      <c r="C28" s="3" t="s">
        <v>39</v>
      </c>
      <c r="D28" s="3" t="s">
        <v>148</v>
      </c>
      <c r="E28" s="2">
        <v>2458.88</v>
      </c>
      <c r="F28" s="1">
        <v>0.08</v>
      </c>
      <c r="G28" s="2">
        <f t="shared" si="0"/>
        <v>196.71040000000002</v>
      </c>
    </row>
    <row r="29" spans="1:7" x14ac:dyDescent="0.3">
      <c r="A29" s="3" t="s">
        <v>31</v>
      </c>
      <c r="B29" s="3" t="s">
        <v>32</v>
      </c>
      <c r="C29" s="3" t="s">
        <v>40</v>
      </c>
      <c r="D29" s="3" t="s">
        <v>148</v>
      </c>
      <c r="E29" s="2">
        <v>2789.36</v>
      </c>
      <c r="F29" s="1">
        <v>0.08</v>
      </c>
      <c r="G29" s="2">
        <f t="shared" si="0"/>
        <v>223.14880000000002</v>
      </c>
    </row>
    <row r="30" spans="1:7" x14ac:dyDescent="0.3">
      <c r="A30" s="3" t="s">
        <v>31</v>
      </c>
      <c r="B30" s="3" t="s">
        <v>32</v>
      </c>
      <c r="C30" s="3" t="s">
        <v>41</v>
      </c>
      <c r="D30" s="3" t="s">
        <v>148</v>
      </c>
      <c r="E30" s="2">
        <v>4679.08</v>
      </c>
      <c r="F30" s="1">
        <v>0.08</v>
      </c>
      <c r="G30" s="2">
        <f t="shared" si="0"/>
        <v>374.32639999999998</v>
      </c>
    </row>
    <row r="31" spans="1:7" x14ac:dyDescent="0.3">
      <c r="A31" s="3" t="s">
        <v>31</v>
      </c>
      <c r="B31" s="3" t="s">
        <v>32</v>
      </c>
      <c r="C31" s="3" t="s">
        <v>42</v>
      </c>
      <c r="D31" s="3" t="s">
        <v>148</v>
      </c>
      <c r="E31" s="2">
        <v>2113.02</v>
      </c>
      <c r="F31" s="1">
        <v>0.08</v>
      </c>
      <c r="G31" s="2">
        <f t="shared" si="0"/>
        <v>169.04159999999999</v>
      </c>
    </row>
    <row r="32" spans="1:7" x14ac:dyDescent="0.3">
      <c r="A32" s="3" t="s">
        <v>31</v>
      </c>
      <c r="B32" s="3" t="s">
        <v>32</v>
      </c>
      <c r="C32" s="3" t="s">
        <v>43</v>
      </c>
      <c r="D32" s="3" t="s">
        <v>148</v>
      </c>
      <c r="E32" s="2">
        <v>3013.2</v>
      </c>
      <c r="F32" s="1">
        <v>0.08</v>
      </c>
      <c r="G32" s="2">
        <f t="shared" si="0"/>
        <v>241.05599999999998</v>
      </c>
    </row>
    <row r="33" spans="1:7" x14ac:dyDescent="0.3">
      <c r="A33" s="3" t="s">
        <v>31</v>
      </c>
      <c r="B33" s="3" t="s">
        <v>32</v>
      </c>
      <c r="C33" s="3" t="s">
        <v>44</v>
      </c>
      <c r="D33" s="3" t="s">
        <v>148</v>
      </c>
      <c r="E33" s="2">
        <v>646.79999999999995</v>
      </c>
      <c r="F33" s="1">
        <v>0.08</v>
      </c>
      <c r="G33" s="2">
        <f t="shared" si="0"/>
        <v>51.744</v>
      </c>
    </row>
    <row r="34" spans="1:7" x14ac:dyDescent="0.3">
      <c r="A34" s="3" t="s">
        <v>31</v>
      </c>
      <c r="B34" s="3" t="s">
        <v>32</v>
      </c>
      <c r="C34" s="3" t="s">
        <v>45</v>
      </c>
      <c r="D34" s="3" t="s">
        <v>148</v>
      </c>
      <c r="E34" s="2">
        <v>532.62</v>
      </c>
      <c r="F34" s="1">
        <v>0.08</v>
      </c>
      <c r="G34" s="2">
        <f t="shared" si="0"/>
        <v>42.6096</v>
      </c>
    </row>
    <row r="35" spans="1:7" x14ac:dyDescent="0.3">
      <c r="A35" s="3" t="s">
        <v>31</v>
      </c>
      <c r="B35" s="3" t="s">
        <v>32</v>
      </c>
      <c r="C35" s="3" t="s">
        <v>46</v>
      </c>
      <c r="D35" s="3" t="s">
        <v>148</v>
      </c>
      <c r="E35" s="2">
        <v>519.91999999999996</v>
      </c>
      <c r="F35" s="1">
        <v>0.08</v>
      </c>
      <c r="G35" s="2">
        <f t="shared" si="0"/>
        <v>41.593599999999995</v>
      </c>
    </row>
    <row r="36" spans="1:7" x14ac:dyDescent="0.3">
      <c r="A36" s="3" t="s">
        <v>31</v>
      </c>
      <c r="B36" s="3" t="s">
        <v>32</v>
      </c>
      <c r="C36" s="3" t="s">
        <v>47</v>
      </c>
      <c r="D36" s="3" t="s">
        <v>148</v>
      </c>
      <c r="E36" s="2">
        <v>264</v>
      </c>
      <c r="F36" s="1">
        <v>0.08</v>
      </c>
      <c r="G36" s="2">
        <f t="shared" si="0"/>
        <v>21.12</v>
      </c>
    </row>
    <row r="37" spans="1:7" x14ac:dyDescent="0.3">
      <c r="A37" s="3" t="s">
        <v>31</v>
      </c>
      <c r="B37" s="3" t="s">
        <v>32</v>
      </c>
      <c r="C37" s="3" t="s">
        <v>48</v>
      </c>
      <c r="D37" s="3" t="s">
        <v>148</v>
      </c>
      <c r="E37" s="2">
        <v>1372.8</v>
      </c>
      <c r="F37" s="1">
        <v>0.08</v>
      </c>
      <c r="G37" s="2">
        <f t="shared" ref="G37:G68" si="1">E37*F37</f>
        <v>109.824</v>
      </c>
    </row>
    <row r="38" spans="1:7" x14ac:dyDescent="0.3">
      <c r="A38" s="3" t="s">
        <v>31</v>
      </c>
      <c r="B38" s="3" t="s">
        <v>32</v>
      </c>
      <c r="C38" s="3" t="s">
        <v>49</v>
      </c>
      <c r="D38" s="3" t="s">
        <v>148</v>
      </c>
      <c r="E38" s="2">
        <v>1143.1199999999999</v>
      </c>
      <c r="F38" s="1">
        <v>0.08</v>
      </c>
      <c r="G38" s="2">
        <f t="shared" si="1"/>
        <v>91.44959999999999</v>
      </c>
    </row>
    <row r="39" spans="1:7" x14ac:dyDescent="0.3">
      <c r="A39" s="3" t="s">
        <v>31</v>
      </c>
      <c r="B39" s="3" t="s">
        <v>32</v>
      </c>
      <c r="C39" s="3" t="s">
        <v>50</v>
      </c>
      <c r="D39" s="3" t="s">
        <v>148</v>
      </c>
      <c r="E39" s="2">
        <v>250.4</v>
      </c>
      <c r="F39" s="1">
        <v>0.08</v>
      </c>
      <c r="G39" s="2">
        <f t="shared" si="1"/>
        <v>20.032</v>
      </c>
    </row>
    <row r="40" spans="1:7" x14ac:dyDescent="0.3">
      <c r="A40" s="3" t="s">
        <v>31</v>
      </c>
      <c r="B40" s="3" t="s">
        <v>32</v>
      </c>
      <c r="C40" s="3" t="s">
        <v>51</v>
      </c>
      <c r="D40" s="3" t="s">
        <v>148</v>
      </c>
      <c r="E40" s="2">
        <v>99.11</v>
      </c>
      <c r="F40" s="1">
        <v>0.08</v>
      </c>
      <c r="G40" s="2">
        <f t="shared" si="1"/>
        <v>7.9287999999999998</v>
      </c>
    </row>
    <row r="41" spans="1:7" x14ac:dyDescent="0.3">
      <c r="A41" s="3" t="s">
        <v>31</v>
      </c>
      <c r="B41" s="3" t="s">
        <v>32</v>
      </c>
      <c r="C41" s="3" t="s">
        <v>52</v>
      </c>
      <c r="D41" s="3" t="s">
        <v>148</v>
      </c>
      <c r="E41" s="2">
        <v>401.67</v>
      </c>
      <c r="F41" s="1">
        <v>0.08</v>
      </c>
      <c r="G41" s="2">
        <f t="shared" si="1"/>
        <v>32.133600000000001</v>
      </c>
    </row>
    <row r="42" spans="1:7" x14ac:dyDescent="0.3">
      <c r="A42" s="3" t="s">
        <v>31</v>
      </c>
      <c r="B42" s="3" t="s">
        <v>32</v>
      </c>
      <c r="C42" s="3" t="s">
        <v>53</v>
      </c>
      <c r="D42" s="3" t="s">
        <v>148</v>
      </c>
      <c r="E42" s="2">
        <v>326.04000000000002</v>
      </c>
      <c r="F42" s="1">
        <v>0.08</v>
      </c>
      <c r="G42" s="2">
        <f t="shared" si="1"/>
        <v>26.083200000000001</v>
      </c>
    </row>
    <row r="43" spans="1:7" x14ac:dyDescent="0.3">
      <c r="A43" s="3" t="s">
        <v>31</v>
      </c>
      <c r="B43" s="3" t="s">
        <v>32</v>
      </c>
      <c r="C43" s="3" t="s">
        <v>54</v>
      </c>
      <c r="D43" s="3" t="s">
        <v>148</v>
      </c>
      <c r="E43" s="2">
        <v>261.3</v>
      </c>
      <c r="F43" s="1">
        <v>0.08</v>
      </c>
      <c r="G43" s="2">
        <f t="shared" si="1"/>
        <v>20.904</v>
      </c>
    </row>
    <row r="44" spans="1:7" x14ac:dyDescent="0.3">
      <c r="A44" s="3" t="s">
        <v>31</v>
      </c>
      <c r="B44" s="3" t="s">
        <v>32</v>
      </c>
      <c r="C44" s="3" t="s">
        <v>55</v>
      </c>
      <c r="D44" s="3" t="s">
        <v>148</v>
      </c>
      <c r="E44" s="2">
        <v>404.29</v>
      </c>
      <c r="F44" s="1">
        <v>0.08</v>
      </c>
      <c r="G44" s="2">
        <f t="shared" si="1"/>
        <v>32.343200000000003</v>
      </c>
    </row>
    <row r="45" spans="1:7" x14ac:dyDescent="0.3">
      <c r="A45" s="3" t="s">
        <v>31</v>
      </c>
      <c r="B45" s="3" t="s">
        <v>32</v>
      </c>
      <c r="C45" s="3" t="s">
        <v>56</v>
      </c>
      <c r="D45" s="3" t="s">
        <v>148</v>
      </c>
      <c r="E45" s="2">
        <v>605.13</v>
      </c>
      <c r="F45" s="1">
        <v>0.08</v>
      </c>
      <c r="G45" s="2">
        <f t="shared" si="1"/>
        <v>48.410400000000003</v>
      </c>
    </row>
    <row r="46" spans="1:7" x14ac:dyDescent="0.3">
      <c r="A46" s="3" t="s">
        <v>31</v>
      </c>
      <c r="B46" s="3" t="s">
        <v>32</v>
      </c>
      <c r="C46" s="3" t="s">
        <v>57</v>
      </c>
      <c r="D46" s="3" t="s">
        <v>148</v>
      </c>
      <c r="E46" s="2">
        <v>633.15</v>
      </c>
      <c r="F46" s="1">
        <v>0.08</v>
      </c>
      <c r="G46" s="2">
        <f t="shared" si="1"/>
        <v>50.652000000000001</v>
      </c>
    </row>
    <row r="47" spans="1:7" x14ac:dyDescent="0.3">
      <c r="A47" s="3" t="s">
        <v>31</v>
      </c>
      <c r="B47" s="3" t="s">
        <v>32</v>
      </c>
      <c r="C47" s="3" t="s">
        <v>58</v>
      </c>
      <c r="D47" s="3" t="s">
        <v>148</v>
      </c>
      <c r="E47" s="2">
        <v>1238.44</v>
      </c>
      <c r="F47" s="1">
        <v>0.08</v>
      </c>
      <c r="G47" s="2">
        <f t="shared" si="1"/>
        <v>99.075200000000009</v>
      </c>
    </row>
    <row r="48" spans="1:7" x14ac:dyDescent="0.3">
      <c r="A48" s="3" t="s">
        <v>31</v>
      </c>
      <c r="B48" s="3" t="s">
        <v>32</v>
      </c>
      <c r="C48" s="3" t="s">
        <v>59</v>
      </c>
      <c r="D48" s="3" t="s">
        <v>148</v>
      </c>
      <c r="E48" s="2">
        <v>951.06</v>
      </c>
      <c r="F48" s="1">
        <v>0.08</v>
      </c>
      <c r="G48" s="2">
        <f t="shared" si="1"/>
        <v>76.084800000000001</v>
      </c>
    </row>
    <row r="49" spans="1:7" x14ac:dyDescent="0.3">
      <c r="A49" s="3" t="s">
        <v>60</v>
      </c>
      <c r="B49" s="3" t="s">
        <v>61</v>
      </c>
      <c r="C49" s="3" t="s">
        <v>62</v>
      </c>
      <c r="D49" s="3" t="s">
        <v>148</v>
      </c>
      <c r="F49" s="1">
        <v>0.05</v>
      </c>
      <c r="G49" s="2">
        <f t="shared" si="1"/>
        <v>0</v>
      </c>
    </row>
    <row r="50" spans="1:7" x14ac:dyDescent="0.3">
      <c r="A50" s="3" t="s">
        <v>60</v>
      </c>
      <c r="B50" s="3" t="s">
        <v>61</v>
      </c>
      <c r="C50" s="3" t="s">
        <v>63</v>
      </c>
      <c r="D50" s="3" t="s">
        <v>148</v>
      </c>
      <c r="E50" s="2">
        <v>9101.44</v>
      </c>
      <c r="F50" s="1">
        <v>0.05</v>
      </c>
      <c r="G50" s="2">
        <f t="shared" si="1"/>
        <v>455.07200000000006</v>
      </c>
    </row>
    <row r="51" spans="1:7" x14ac:dyDescent="0.3">
      <c r="A51" s="3" t="s">
        <v>60</v>
      </c>
      <c r="B51" s="3" t="s">
        <v>61</v>
      </c>
      <c r="C51" s="3" t="s">
        <v>64</v>
      </c>
      <c r="D51" s="3" t="s">
        <v>148</v>
      </c>
      <c r="F51" s="1">
        <v>0.05</v>
      </c>
      <c r="G51" s="2">
        <f t="shared" si="1"/>
        <v>0</v>
      </c>
    </row>
    <row r="52" spans="1:7" x14ac:dyDescent="0.3">
      <c r="A52" s="3" t="s">
        <v>60</v>
      </c>
      <c r="B52" s="3" t="s">
        <v>61</v>
      </c>
      <c r="C52" s="3" t="s">
        <v>65</v>
      </c>
      <c r="D52" s="3" t="s">
        <v>148</v>
      </c>
      <c r="E52" s="2">
        <v>4949.76</v>
      </c>
      <c r="F52" s="1">
        <v>0.05</v>
      </c>
      <c r="G52" s="2">
        <f t="shared" si="1"/>
        <v>247.48800000000003</v>
      </c>
    </row>
    <row r="53" spans="1:7" x14ac:dyDescent="0.3">
      <c r="A53" s="3" t="s">
        <v>60</v>
      </c>
      <c r="B53" s="3" t="s">
        <v>61</v>
      </c>
      <c r="C53" s="3" t="s">
        <v>66</v>
      </c>
      <c r="D53" s="3" t="s">
        <v>148</v>
      </c>
      <c r="E53" s="2">
        <v>6338.56</v>
      </c>
      <c r="F53" s="1">
        <v>0.05</v>
      </c>
      <c r="G53" s="2">
        <f t="shared" si="1"/>
        <v>316.92800000000005</v>
      </c>
    </row>
    <row r="54" spans="1:7" x14ac:dyDescent="0.3">
      <c r="A54" s="3" t="s">
        <v>60</v>
      </c>
      <c r="B54" s="3" t="s">
        <v>61</v>
      </c>
      <c r="C54" s="3" t="s">
        <v>67</v>
      </c>
      <c r="D54" s="3" t="s">
        <v>148</v>
      </c>
      <c r="E54" s="2">
        <v>2715.05</v>
      </c>
      <c r="F54" s="1">
        <v>0.05</v>
      </c>
      <c r="G54" s="2">
        <f t="shared" si="1"/>
        <v>135.75250000000003</v>
      </c>
    </row>
    <row r="55" spans="1:7" x14ac:dyDescent="0.3">
      <c r="A55" s="3" t="s">
        <v>60</v>
      </c>
      <c r="B55" s="3" t="s">
        <v>61</v>
      </c>
      <c r="C55" s="3" t="s">
        <v>68</v>
      </c>
      <c r="D55" s="3" t="s">
        <v>148</v>
      </c>
      <c r="E55" s="2">
        <v>3175.68</v>
      </c>
      <c r="F55" s="1">
        <v>0.05</v>
      </c>
      <c r="G55" s="2">
        <f t="shared" si="1"/>
        <v>158.78399999999999</v>
      </c>
    </row>
    <row r="56" spans="1:7" x14ac:dyDescent="0.3">
      <c r="A56" s="3" t="s">
        <v>60</v>
      </c>
      <c r="B56" s="3" t="s">
        <v>61</v>
      </c>
      <c r="C56" s="3" t="s">
        <v>69</v>
      </c>
      <c r="D56" s="3" t="s">
        <v>148</v>
      </c>
      <c r="E56" s="2">
        <v>6210.56</v>
      </c>
      <c r="F56" s="1">
        <v>0.05</v>
      </c>
      <c r="G56" s="2">
        <f t="shared" si="1"/>
        <v>310.52800000000002</v>
      </c>
    </row>
    <row r="57" spans="1:7" x14ac:dyDescent="0.3">
      <c r="A57" s="3" t="s">
        <v>60</v>
      </c>
      <c r="B57" s="3" t="s">
        <v>61</v>
      </c>
      <c r="C57" s="3" t="s">
        <v>70</v>
      </c>
      <c r="D57" s="3" t="s">
        <v>148</v>
      </c>
      <c r="E57" s="2">
        <v>0</v>
      </c>
      <c r="F57" s="1">
        <v>0.05</v>
      </c>
      <c r="G57" s="2">
        <f t="shared" si="1"/>
        <v>0</v>
      </c>
    </row>
    <row r="58" spans="1:7" x14ac:dyDescent="0.3">
      <c r="A58" s="3" t="s">
        <v>60</v>
      </c>
      <c r="B58" s="3" t="s">
        <v>61</v>
      </c>
      <c r="C58" s="3" t="s">
        <v>71</v>
      </c>
      <c r="D58" s="3" t="s">
        <v>148</v>
      </c>
      <c r="E58" s="2">
        <v>261.47000000000003</v>
      </c>
      <c r="F58" s="1">
        <v>0.05</v>
      </c>
      <c r="G58" s="2">
        <f t="shared" si="1"/>
        <v>13.073500000000003</v>
      </c>
    </row>
    <row r="59" spans="1:7" x14ac:dyDescent="0.3">
      <c r="A59" s="3" t="s">
        <v>60</v>
      </c>
      <c r="B59" s="3" t="s">
        <v>61</v>
      </c>
      <c r="C59" s="3" t="s">
        <v>72</v>
      </c>
      <c r="D59" s="3" t="s">
        <v>148</v>
      </c>
      <c r="E59" s="2">
        <v>1418.88</v>
      </c>
      <c r="F59" s="1">
        <v>0.05</v>
      </c>
      <c r="G59" s="2">
        <f t="shared" si="1"/>
        <v>70.944000000000003</v>
      </c>
    </row>
    <row r="60" spans="1:7" x14ac:dyDescent="0.3">
      <c r="A60" s="3" t="s">
        <v>60</v>
      </c>
      <c r="B60" s="3" t="s">
        <v>61</v>
      </c>
      <c r="C60" s="3" t="s">
        <v>73</v>
      </c>
      <c r="D60" s="3" t="s">
        <v>148</v>
      </c>
      <c r="E60" s="2">
        <v>3537.92</v>
      </c>
      <c r="F60" s="1">
        <v>0.05</v>
      </c>
      <c r="G60" s="2">
        <f t="shared" si="1"/>
        <v>176.89600000000002</v>
      </c>
    </row>
    <row r="61" spans="1:7" x14ac:dyDescent="0.3">
      <c r="A61" s="3" t="s">
        <v>60</v>
      </c>
      <c r="B61" s="3" t="s">
        <v>61</v>
      </c>
      <c r="C61" s="3" t="s">
        <v>74</v>
      </c>
      <c r="D61" s="3" t="s">
        <v>148</v>
      </c>
      <c r="E61" s="2">
        <v>0</v>
      </c>
      <c r="F61" s="1">
        <v>0.05</v>
      </c>
      <c r="G61" s="2">
        <f t="shared" si="1"/>
        <v>0</v>
      </c>
    </row>
    <row r="62" spans="1:7" x14ac:dyDescent="0.3">
      <c r="A62" s="3" t="s">
        <v>60</v>
      </c>
      <c r="B62" s="3" t="s">
        <v>61</v>
      </c>
      <c r="C62" s="3" t="s">
        <v>75</v>
      </c>
      <c r="D62" s="3" t="s">
        <v>148</v>
      </c>
      <c r="E62" s="2">
        <v>3828.82</v>
      </c>
      <c r="F62" s="1">
        <v>0.05</v>
      </c>
      <c r="G62" s="2">
        <f t="shared" si="1"/>
        <v>191.44100000000003</v>
      </c>
    </row>
    <row r="63" spans="1:7" x14ac:dyDescent="0.3">
      <c r="A63" s="3" t="s">
        <v>60</v>
      </c>
      <c r="B63" s="3" t="s">
        <v>61</v>
      </c>
      <c r="C63" s="3" t="s">
        <v>76</v>
      </c>
      <c r="D63" s="3" t="s">
        <v>148</v>
      </c>
      <c r="E63" s="2">
        <v>5204.55</v>
      </c>
      <c r="F63" s="1">
        <v>0.05</v>
      </c>
      <c r="G63" s="2">
        <f t="shared" si="1"/>
        <v>260.22750000000002</v>
      </c>
    </row>
    <row r="64" spans="1:7" x14ac:dyDescent="0.3">
      <c r="A64" s="3" t="s">
        <v>60</v>
      </c>
      <c r="B64" s="3" t="s">
        <v>61</v>
      </c>
      <c r="C64" s="3" t="s">
        <v>77</v>
      </c>
      <c r="D64" s="3" t="s">
        <v>148</v>
      </c>
      <c r="E64" s="2">
        <v>5534.1</v>
      </c>
      <c r="F64" s="1">
        <v>0.05</v>
      </c>
      <c r="G64" s="2">
        <f t="shared" si="1"/>
        <v>276.70500000000004</v>
      </c>
    </row>
    <row r="65" spans="1:7" x14ac:dyDescent="0.3">
      <c r="A65" s="3" t="s">
        <v>60</v>
      </c>
      <c r="B65" s="3" t="s">
        <v>78</v>
      </c>
      <c r="C65" s="3" t="s">
        <v>79</v>
      </c>
      <c r="D65" s="3" t="s">
        <v>148</v>
      </c>
      <c r="E65" s="2">
        <v>4553.58</v>
      </c>
      <c r="F65" s="1">
        <v>0.05</v>
      </c>
      <c r="G65" s="2">
        <f t="shared" si="1"/>
        <v>227.679</v>
      </c>
    </row>
    <row r="66" spans="1:7" x14ac:dyDescent="0.3">
      <c r="A66" s="3" t="s">
        <v>60</v>
      </c>
      <c r="B66" s="3" t="s">
        <v>78</v>
      </c>
      <c r="C66" s="3" t="s">
        <v>80</v>
      </c>
      <c r="D66" s="3" t="s">
        <v>148</v>
      </c>
      <c r="E66" s="2">
        <v>11651.2</v>
      </c>
      <c r="F66" s="1">
        <v>0.05</v>
      </c>
      <c r="G66" s="2">
        <f t="shared" si="1"/>
        <v>582.56000000000006</v>
      </c>
    </row>
    <row r="67" spans="1:7" x14ac:dyDescent="0.3">
      <c r="A67" s="3" t="s">
        <v>60</v>
      </c>
      <c r="B67" s="3" t="s">
        <v>78</v>
      </c>
      <c r="C67" s="3" t="s">
        <v>81</v>
      </c>
      <c r="D67" s="3" t="s">
        <v>148</v>
      </c>
      <c r="E67" s="2">
        <v>4817.92</v>
      </c>
      <c r="F67" s="1">
        <v>0.05</v>
      </c>
      <c r="G67" s="2">
        <f t="shared" si="1"/>
        <v>240.89600000000002</v>
      </c>
    </row>
    <row r="68" spans="1:7" x14ac:dyDescent="0.3">
      <c r="A68" s="3" t="s">
        <v>60</v>
      </c>
      <c r="B68" s="3" t="s">
        <v>78</v>
      </c>
      <c r="C68" s="3" t="s">
        <v>82</v>
      </c>
      <c r="D68" s="3" t="s">
        <v>148</v>
      </c>
      <c r="E68" s="2">
        <v>9120.7999999999993</v>
      </c>
      <c r="F68" s="1">
        <v>0.05</v>
      </c>
      <c r="G68" s="2">
        <f t="shared" si="1"/>
        <v>456.03999999999996</v>
      </c>
    </row>
    <row r="69" spans="1:7" x14ac:dyDescent="0.3">
      <c r="A69" s="3" t="s">
        <v>60</v>
      </c>
      <c r="B69" s="3" t="s">
        <v>78</v>
      </c>
      <c r="C69" s="3" t="s">
        <v>83</v>
      </c>
      <c r="D69" s="3" t="s">
        <v>148</v>
      </c>
      <c r="E69" s="2">
        <v>3503.72</v>
      </c>
      <c r="F69" s="1">
        <v>0.05</v>
      </c>
      <c r="G69" s="2">
        <f t="shared" ref="G69:G96" si="2">E69*F69</f>
        <v>175.18600000000001</v>
      </c>
    </row>
    <row r="70" spans="1:7" x14ac:dyDescent="0.3">
      <c r="A70" s="3" t="s">
        <v>60</v>
      </c>
      <c r="B70" s="3" t="s">
        <v>78</v>
      </c>
      <c r="C70" s="3" t="s">
        <v>84</v>
      </c>
      <c r="D70" s="3" t="s">
        <v>148</v>
      </c>
      <c r="E70" s="2">
        <v>1077.05</v>
      </c>
      <c r="F70" s="1">
        <v>0.05</v>
      </c>
      <c r="G70" s="2">
        <f t="shared" si="2"/>
        <v>53.852499999999999</v>
      </c>
    </row>
    <row r="71" spans="1:7" x14ac:dyDescent="0.3">
      <c r="A71" s="3" t="s">
        <v>60</v>
      </c>
      <c r="B71" s="3" t="s">
        <v>78</v>
      </c>
      <c r="C71" s="3" t="s">
        <v>85</v>
      </c>
      <c r="D71" s="3" t="s">
        <v>148</v>
      </c>
      <c r="E71" s="2">
        <v>694.4</v>
      </c>
      <c r="F71" s="1">
        <v>0.05</v>
      </c>
      <c r="G71" s="2">
        <f t="shared" si="2"/>
        <v>34.72</v>
      </c>
    </row>
    <row r="72" spans="1:7" x14ac:dyDescent="0.3">
      <c r="A72" s="3" t="s">
        <v>60</v>
      </c>
      <c r="B72" s="3" t="s">
        <v>78</v>
      </c>
      <c r="C72" s="3" t="s">
        <v>86</v>
      </c>
      <c r="D72" s="3" t="s">
        <v>148</v>
      </c>
      <c r="E72" s="2">
        <v>5792.15</v>
      </c>
      <c r="F72" s="1">
        <v>0.05</v>
      </c>
      <c r="G72" s="2">
        <f t="shared" si="2"/>
        <v>289.60750000000002</v>
      </c>
    </row>
    <row r="73" spans="1:7" x14ac:dyDescent="0.3">
      <c r="A73" s="3" t="s">
        <v>60</v>
      </c>
      <c r="B73" s="3" t="s">
        <v>87</v>
      </c>
      <c r="C73" s="3" t="s">
        <v>88</v>
      </c>
      <c r="D73" s="3" t="s">
        <v>148</v>
      </c>
      <c r="E73" s="2">
        <v>613.12</v>
      </c>
      <c r="F73" s="1">
        <v>0.05</v>
      </c>
      <c r="G73" s="2">
        <f t="shared" si="2"/>
        <v>30.656000000000002</v>
      </c>
    </row>
    <row r="74" spans="1:7" x14ac:dyDescent="0.3">
      <c r="A74" s="3" t="s">
        <v>60</v>
      </c>
      <c r="B74" s="3" t="s">
        <v>87</v>
      </c>
      <c r="C74" s="3" t="s">
        <v>89</v>
      </c>
      <c r="D74" s="3" t="s">
        <v>148</v>
      </c>
      <c r="E74" s="2">
        <v>5693.44</v>
      </c>
      <c r="F74" s="1">
        <v>0.05</v>
      </c>
      <c r="G74" s="2">
        <f t="shared" si="2"/>
        <v>284.67199999999997</v>
      </c>
    </row>
    <row r="75" spans="1:7" x14ac:dyDescent="0.3">
      <c r="A75" s="3" t="s">
        <v>60</v>
      </c>
      <c r="B75" s="3" t="s">
        <v>87</v>
      </c>
      <c r="C75" s="3" t="s">
        <v>90</v>
      </c>
      <c r="D75" s="3" t="s">
        <v>148</v>
      </c>
      <c r="E75" s="2">
        <v>4423.68</v>
      </c>
      <c r="F75" s="1">
        <v>0.05</v>
      </c>
      <c r="G75" s="2">
        <f t="shared" si="2"/>
        <v>221.18400000000003</v>
      </c>
    </row>
    <row r="76" spans="1:7" x14ac:dyDescent="0.3">
      <c r="A76" s="3" t="s">
        <v>60</v>
      </c>
      <c r="B76" s="3" t="s">
        <v>87</v>
      </c>
      <c r="C76" s="3" t="s">
        <v>91</v>
      </c>
      <c r="D76" s="3" t="s">
        <v>148</v>
      </c>
      <c r="E76" s="2">
        <v>811.52</v>
      </c>
      <c r="F76" s="1">
        <v>0.05</v>
      </c>
      <c r="G76" s="2">
        <f t="shared" si="2"/>
        <v>40.576000000000001</v>
      </c>
    </row>
    <row r="77" spans="1:7" x14ac:dyDescent="0.3">
      <c r="A77" s="3" t="s">
        <v>60</v>
      </c>
      <c r="B77" s="3" t="s">
        <v>87</v>
      </c>
      <c r="C77" s="3" t="s">
        <v>92</v>
      </c>
      <c r="D77" s="3" t="s">
        <v>148</v>
      </c>
      <c r="E77" s="2">
        <v>6256</v>
      </c>
      <c r="F77" s="1">
        <v>0.05</v>
      </c>
      <c r="G77" s="2">
        <f t="shared" si="2"/>
        <v>312.8</v>
      </c>
    </row>
    <row r="78" spans="1:7" x14ac:dyDescent="0.3">
      <c r="A78" s="3" t="s">
        <v>60</v>
      </c>
      <c r="B78" s="3" t="s">
        <v>87</v>
      </c>
      <c r="C78" s="3" t="s">
        <v>93</v>
      </c>
      <c r="D78" s="3" t="s">
        <v>148</v>
      </c>
      <c r="E78" s="2">
        <v>0</v>
      </c>
      <c r="F78" s="1">
        <v>0.05</v>
      </c>
      <c r="G78" s="2">
        <f t="shared" si="2"/>
        <v>0</v>
      </c>
    </row>
    <row r="79" spans="1:7" x14ac:dyDescent="0.3">
      <c r="A79" s="3" t="s">
        <v>60</v>
      </c>
      <c r="B79" s="3" t="s">
        <v>87</v>
      </c>
      <c r="C79" s="3" t="s">
        <v>94</v>
      </c>
      <c r="D79" s="3" t="s">
        <v>148</v>
      </c>
      <c r="E79" s="2">
        <v>1003.52</v>
      </c>
      <c r="F79" s="1">
        <v>0.05</v>
      </c>
      <c r="G79" s="2">
        <f t="shared" si="2"/>
        <v>50.176000000000002</v>
      </c>
    </row>
    <row r="80" spans="1:7" x14ac:dyDescent="0.3">
      <c r="A80" s="3" t="s">
        <v>60</v>
      </c>
      <c r="B80" s="3" t="s">
        <v>87</v>
      </c>
      <c r="C80" s="3" t="s">
        <v>95</v>
      </c>
      <c r="D80" s="3" t="s">
        <v>148</v>
      </c>
      <c r="E80" s="2">
        <v>1112.96</v>
      </c>
      <c r="F80" s="1">
        <v>0.05</v>
      </c>
      <c r="G80" s="2">
        <f t="shared" si="2"/>
        <v>55.648000000000003</v>
      </c>
    </row>
    <row r="81" spans="1:7" x14ac:dyDescent="0.3">
      <c r="A81" s="3" t="s">
        <v>60</v>
      </c>
      <c r="B81" s="3" t="s">
        <v>87</v>
      </c>
      <c r="C81" s="3" t="s">
        <v>96</v>
      </c>
      <c r="D81" s="3" t="s">
        <v>148</v>
      </c>
      <c r="E81" s="2">
        <v>5863.04</v>
      </c>
      <c r="F81" s="1">
        <v>0.05</v>
      </c>
      <c r="G81" s="2">
        <f t="shared" si="2"/>
        <v>293.15199999999999</v>
      </c>
    </row>
    <row r="82" spans="1:7" x14ac:dyDescent="0.3">
      <c r="A82" s="3" t="s">
        <v>60</v>
      </c>
      <c r="B82" s="3" t="s">
        <v>87</v>
      </c>
      <c r="C82" s="3" t="s">
        <v>97</v>
      </c>
      <c r="D82" s="3" t="s">
        <v>148</v>
      </c>
      <c r="E82" s="2">
        <v>4433.92</v>
      </c>
      <c r="F82" s="1">
        <v>0.05</v>
      </c>
      <c r="G82" s="2">
        <f t="shared" si="2"/>
        <v>221.69600000000003</v>
      </c>
    </row>
    <row r="83" spans="1:7" x14ac:dyDescent="0.3">
      <c r="A83" s="3" t="s">
        <v>60</v>
      </c>
      <c r="B83" s="3" t="s">
        <v>87</v>
      </c>
      <c r="C83" s="3" t="s">
        <v>98</v>
      </c>
      <c r="D83" s="3" t="s">
        <v>148</v>
      </c>
      <c r="E83" s="2">
        <v>7269.76</v>
      </c>
      <c r="F83" s="1">
        <v>0.05</v>
      </c>
      <c r="G83" s="2">
        <f t="shared" si="2"/>
        <v>363.48800000000006</v>
      </c>
    </row>
    <row r="84" spans="1:7" x14ac:dyDescent="0.3">
      <c r="A84" s="3" t="s">
        <v>99</v>
      </c>
      <c r="B84" s="3" t="s">
        <v>100</v>
      </c>
      <c r="C84" s="3" t="s">
        <v>101</v>
      </c>
      <c r="D84" s="3" t="s">
        <v>148</v>
      </c>
      <c r="E84" s="2">
        <v>5134.1499999999996</v>
      </c>
      <c r="F84" s="1">
        <v>0.1</v>
      </c>
      <c r="G84" s="2">
        <f t="shared" si="2"/>
        <v>513.41499999999996</v>
      </c>
    </row>
    <row r="85" spans="1:7" x14ac:dyDescent="0.3">
      <c r="A85" s="3" t="s">
        <v>99</v>
      </c>
      <c r="B85" s="3" t="s">
        <v>100</v>
      </c>
      <c r="C85" s="3" t="s">
        <v>102</v>
      </c>
      <c r="D85" s="3" t="s">
        <v>148</v>
      </c>
      <c r="E85" s="2">
        <v>217.6</v>
      </c>
      <c r="F85" s="1">
        <v>0.1</v>
      </c>
      <c r="G85" s="2">
        <f t="shared" si="2"/>
        <v>21.76</v>
      </c>
    </row>
    <row r="86" spans="1:7" x14ac:dyDescent="0.3">
      <c r="A86" s="3" t="s">
        <v>99</v>
      </c>
      <c r="B86" s="3" t="s">
        <v>100</v>
      </c>
      <c r="C86" s="3" t="s">
        <v>103</v>
      </c>
      <c r="D86" s="3" t="s">
        <v>148</v>
      </c>
      <c r="E86" s="2">
        <v>2311.25</v>
      </c>
      <c r="F86" s="1">
        <v>0.1</v>
      </c>
      <c r="G86" s="2">
        <f t="shared" si="2"/>
        <v>231.125</v>
      </c>
    </row>
    <row r="87" spans="1:7" x14ac:dyDescent="0.3">
      <c r="A87" s="3" t="s">
        <v>99</v>
      </c>
      <c r="B87" s="3" t="s">
        <v>100</v>
      </c>
      <c r="C87" s="3" t="s">
        <v>104</v>
      </c>
      <c r="D87" s="3" t="s">
        <v>148</v>
      </c>
      <c r="E87" s="2">
        <v>289.44</v>
      </c>
      <c r="F87" s="1">
        <v>0.1</v>
      </c>
      <c r="G87" s="2">
        <f t="shared" si="2"/>
        <v>28.944000000000003</v>
      </c>
    </row>
    <row r="88" spans="1:7" x14ac:dyDescent="0.3">
      <c r="A88" s="3" t="s">
        <v>99</v>
      </c>
      <c r="B88" s="3" t="s">
        <v>100</v>
      </c>
      <c r="C88" s="3" t="s">
        <v>105</v>
      </c>
      <c r="D88" s="3" t="s">
        <v>148</v>
      </c>
      <c r="E88" s="2">
        <v>2266.38</v>
      </c>
      <c r="F88" s="1">
        <v>0.1</v>
      </c>
      <c r="G88" s="2">
        <f t="shared" si="2"/>
        <v>226.63800000000003</v>
      </c>
    </row>
    <row r="89" spans="1:7" x14ac:dyDescent="0.3">
      <c r="A89" s="3" t="s">
        <v>99</v>
      </c>
      <c r="B89" s="3" t="s">
        <v>100</v>
      </c>
      <c r="C89" s="3" t="s">
        <v>106</v>
      </c>
      <c r="D89" s="3" t="s">
        <v>148</v>
      </c>
      <c r="E89" s="2">
        <v>423.9</v>
      </c>
      <c r="F89" s="1">
        <v>0.1</v>
      </c>
      <c r="G89" s="2">
        <f t="shared" si="2"/>
        <v>42.39</v>
      </c>
    </row>
    <row r="90" spans="1:7" x14ac:dyDescent="0.3">
      <c r="A90" s="3" t="s">
        <v>99</v>
      </c>
      <c r="B90" s="3" t="s">
        <v>100</v>
      </c>
      <c r="C90" s="3" t="s">
        <v>107</v>
      </c>
      <c r="D90" s="3" t="s">
        <v>148</v>
      </c>
      <c r="E90" s="2">
        <v>204.68</v>
      </c>
      <c r="F90" s="1">
        <v>0.1</v>
      </c>
      <c r="G90" s="2">
        <f t="shared" si="2"/>
        <v>20.468000000000004</v>
      </c>
    </row>
    <row r="91" spans="1:7" x14ac:dyDescent="0.3">
      <c r="A91" s="3" t="s">
        <v>99</v>
      </c>
      <c r="B91" s="3" t="s">
        <v>100</v>
      </c>
      <c r="C91" s="3" t="s">
        <v>108</v>
      </c>
      <c r="D91" s="3" t="s">
        <v>148</v>
      </c>
      <c r="E91" s="2">
        <v>0</v>
      </c>
      <c r="F91" s="1">
        <v>0.1</v>
      </c>
      <c r="G91" s="2">
        <f t="shared" si="2"/>
        <v>0</v>
      </c>
    </row>
    <row r="92" spans="1:7" x14ac:dyDescent="0.3">
      <c r="A92" s="3" t="s">
        <v>99</v>
      </c>
      <c r="B92" s="3" t="s">
        <v>100</v>
      </c>
      <c r="C92" s="3" t="s">
        <v>109</v>
      </c>
      <c r="D92" s="3" t="s">
        <v>148</v>
      </c>
      <c r="E92" s="2">
        <v>993.06</v>
      </c>
      <c r="F92" s="1">
        <v>0.1</v>
      </c>
      <c r="G92" s="2">
        <f t="shared" si="2"/>
        <v>99.305999999999997</v>
      </c>
    </row>
    <row r="93" spans="1:7" x14ac:dyDescent="0.3">
      <c r="A93" s="3" t="s">
        <v>99</v>
      </c>
      <c r="B93" s="3" t="s">
        <v>100</v>
      </c>
      <c r="C93" s="3" t="s">
        <v>110</v>
      </c>
      <c r="D93" s="3" t="s">
        <v>148</v>
      </c>
      <c r="E93" s="2">
        <v>885.6</v>
      </c>
      <c r="F93" s="1">
        <v>0.1</v>
      </c>
      <c r="G93" s="2">
        <f t="shared" si="2"/>
        <v>88.56</v>
      </c>
    </row>
    <row r="94" spans="1:7" x14ac:dyDescent="0.3">
      <c r="A94" s="3" t="s">
        <v>99</v>
      </c>
      <c r="B94" s="3" t="s">
        <v>100</v>
      </c>
      <c r="C94" s="3" t="s">
        <v>111</v>
      </c>
      <c r="D94" s="3" t="s">
        <v>148</v>
      </c>
      <c r="E94" s="2">
        <v>460.08</v>
      </c>
      <c r="F94" s="1">
        <v>0.1</v>
      </c>
      <c r="G94" s="2">
        <f t="shared" si="2"/>
        <v>46.008000000000003</v>
      </c>
    </row>
    <row r="95" spans="1:7" x14ac:dyDescent="0.3">
      <c r="A95" s="3" t="s">
        <v>99</v>
      </c>
      <c r="B95" s="3" t="s">
        <v>100</v>
      </c>
      <c r="C95" s="3" t="s">
        <v>112</v>
      </c>
      <c r="D95" s="3" t="s">
        <v>148</v>
      </c>
      <c r="E95" s="2">
        <v>0</v>
      </c>
      <c r="F95" s="1">
        <v>0.1</v>
      </c>
      <c r="G95" s="2">
        <f t="shared" si="2"/>
        <v>0</v>
      </c>
    </row>
    <row r="96" spans="1:7" x14ac:dyDescent="0.3">
      <c r="A96" s="3" t="s">
        <v>99</v>
      </c>
      <c r="B96" s="3" t="s">
        <v>100</v>
      </c>
      <c r="C96" s="3" t="s">
        <v>113</v>
      </c>
      <c r="D96" s="3" t="s">
        <v>148</v>
      </c>
      <c r="E96" s="2">
        <v>4362.66</v>
      </c>
      <c r="F96" s="1">
        <v>0.1</v>
      </c>
      <c r="G96" s="2">
        <f t="shared" si="2"/>
        <v>436.26600000000002</v>
      </c>
    </row>
    <row r="97" spans="1:7" x14ac:dyDescent="0.3">
      <c r="A97" s="3" t="s">
        <v>99</v>
      </c>
      <c r="B97" s="3" t="s">
        <v>100</v>
      </c>
      <c r="C97" s="3" t="s">
        <v>114</v>
      </c>
      <c r="D97" s="3" t="s">
        <v>148</v>
      </c>
      <c r="E97" s="2">
        <v>119.46</v>
      </c>
      <c r="F97" s="1">
        <v>0.1</v>
      </c>
      <c r="G97" s="2">
        <v>0</v>
      </c>
    </row>
    <row r="98" spans="1:7" x14ac:dyDescent="0.3">
      <c r="A98" s="3" t="s">
        <v>99</v>
      </c>
      <c r="B98" s="3" t="s">
        <v>100</v>
      </c>
      <c r="C98" s="3" t="s">
        <v>115</v>
      </c>
      <c r="D98" s="3" t="s">
        <v>148</v>
      </c>
      <c r="E98" s="2">
        <v>1359.6</v>
      </c>
      <c r="F98" s="1">
        <v>0.1</v>
      </c>
      <c r="G98" s="2">
        <f t="shared" ref="G98:G129" si="3">E98*F98</f>
        <v>135.96</v>
      </c>
    </row>
    <row r="99" spans="1:7" x14ac:dyDescent="0.3">
      <c r="A99" s="3" t="s">
        <v>99</v>
      </c>
      <c r="B99" s="3" t="s">
        <v>100</v>
      </c>
      <c r="C99" s="3" t="s">
        <v>116</v>
      </c>
      <c r="D99" s="3" t="s">
        <v>148</v>
      </c>
      <c r="E99" s="2">
        <v>624.36</v>
      </c>
      <c r="F99" s="1">
        <v>0.1</v>
      </c>
      <c r="G99" s="2">
        <f t="shared" si="3"/>
        <v>62.436000000000007</v>
      </c>
    </row>
    <row r="100" spans="1:7" x14ac:dyDescent="0.3">
      <c r="A100" s="3" t="s">
        <v>99</v>
      </c>
      <c r="B100" s="3" t="s">
        <v>100</v>
      </c>
      <c r="C100" s="3" t="s">
        <v>117</v>
      </c>
      <c r="D100" s="3" t="s">
        <v>148</v>
      </c>
      <c r="E100" s="2">
        <v>5857.38</v>
      </c>
      <c r="F100" s="1">
        <v>0.1</v>
      </c>
      <c r="G100" s="2">
        <f t="shared" si="3"/>
        <v>585.73800000000006</v>
      </c>
    </row>
    <row r="101" spans="1:7" x14ac:dyDescent="0.3">
      <c r="A101" s="3" t="s">
        <v>99</v>
      </c>
      <c r="B101" s="3" t="s">
        <v>100</v>
      </c>
      <c r="C101" s="3" t="s">
        <v>118</v>
      </c>
      <c r="D101" s="3" t="s">
        <v>148</v>
      </c>
      <c r="E101" s="2">
        <v>12081.84</v>
      </c>
      <c r="F101" s="1">
        <v>0.1</v>
      </c>
      <c r="G101" s="2">
        <f t="shared" si="3"/>
        <v>1208.184</v>
      </c>
    </row>
    <row r="102" spans="1:7" x14ac:dyDescent="0.3">
      <c r="A102" s="3" t="s">
        <v>99</v>
      </c>
      <c r="B102" s="3" t="s">
        <v>100</v>
      </c>
      <c r="C102" s="3" t="s">
        <v>119</v>
      </c>
      <c r="D102" s="3" t="s">
        <v>148</v>
      </c>
      <c r="E102" s="2">
        <v>348.16</v>
      </c>
      <c r="F102" s="1">
        <v>0.1</v>
      </c>
      <c r="G102" s="2">
        <f t="shared" si="3"/>
        <v>34.816000000000003</v>
      </c>
    </row>
    <row r="103" spans="1:7" x14ac:dyDescent="0.3">
      <c r="A103" s="3" t="s">
        <v>99</v>
      </c>
      <c r="B103" s="3" t="s">
        <v>100</v>
      </c>
      <c r="C103" s="3" t="s">
        <v>120</v>
      </c>
      <c r="D103" s="3" t="s">
        <v>148</v>
      </c>
      <c r="E103" s="2">
        <v>2118.35</v>
      </c>
      <c r="F103" s="1">
        <v>0.1</v>
      </c>
      <c r="G103" s="2">
        <f t="shared" si="3"/>
        <v>211.83500000000001</v>
      </c>
    </row>
    <row r="104" spans="1:7" x14ac:dyDescent="0.3">
      <c r="A104" s="3" t="s">
        <v>99</v>
      </c>
      <c r="B104" s="3" t="s">
        <v>100</v>
      </c>
      <c r="C104" s="3" t="s">
        <v>121</v>
      </c>
      <c r="D104" s="3" t="s">
        <v>148</v>
      </c>
      <c r="E104" s="2">
        <v>3017.95</v>
      </c>
      <c r="F104" s="1">
        <v>0.1</v>
      </c>
      <c r="G104" s="2">
        <f t="shared" si="3"/>
        <v>301.79500000000002</v>
      </c>
    </row>
    <row r="105" spans="1:7" x14ac:dyDescent="0.3">
      <c r="A105" s="3" t="s">
        <v>99</v>
      </c>
      <c r="B105" s="3" t="s">
        <v>100</v>
      </c>
      <c r="C105" s="3" t="s">
        <v>122</v>
      </c>
      <c r="D105" s="3" t="s">
        <v>148</v>
      </c>
      <c r="E105" s="2">
        <v>10561.28</v>
      </c>
      <c r="F105" s="1">
        <v>0.1</v>
      </c>
      <c r="G105" s="2">
        <f t="shared" si="3"/>
        <v>1056.1280000000002</v>
      </c>
    </row>
    <row r="106" spans="1:7" x14ac:dyDescent="0.3">
      <c r="A106" s="3" t="s">
        <v>99</v>
      </c>
      <c r="B106" s="3" t="s">
        <v>100</v>
      </c>
      <c r="C106" s="3" t="s">
        <v>123</v>
      </c>
      <c r="D106" s="3" t="s">
        <v>148</v>
      </c>
      <c r="E106" s="2">
        <v>1683.84</v>
      </c>
      <c r="F106" s="1">
        <v>0.1</v>
      </c>
      <c r="G106" s="2">
        <f t="shared" si="3"/>
        <v>168.38400000000001</v>
      </c>
    </row>
    <row r="107" spans="1:7" x14ac:dyDescent="0.3">
      <c r="A107" s="3" t="s">
        <v>99</v>
      </c>
      <c r="B107" s="3" t="s">
        <v>100</v>
      </c>
      <c r="C107" s="3" t="s">
        <v>124</v>
      </c>
      <c r="D107" s="3" t="s">
        <v>148</v>
      </c>
      <c r="E107" s="2">
        <v>1457.39</v>
      </c>
      <c r="F107" s="1">
        <v>0.1</v>
      </c>
      <c r="G107" s="2">
        <f t="shared" si="3"/>
        <v>145.739</v>
      </c>
    </row>
    <row r="108" spans="1:7" x14ac:dyDescent="0.3">
      <c r="A108" s="3" t="s">
        <v>99</v>
      </c>
      <c r="B108" s="3" t="s">
        <v>100</v>
      </c>
      <c r="C108" s="3" t="s">
        <v>125</v>
      </c>
      <c r="D108" s="3" t="s">
        <v>148</v>
      </c>
      <c r="E108" s="2">
        <v>969.2</v>
      </c>
      <c r="F108" s="1">
        <v>0.1</v>
      </c>
      <c r="G108" s="2">
        <f t="shared" si="3"/>
        <v>96.920000000000016</v>
      </c>
    </row>
    <row r="109" spans="1:7" x14ac:dyDescent="0.3">
      <c r="A109" s="3" t="s">
        <v>99</v>
      </c>
      <c r="B109" s="3" t="s">
        <v>100</v>
      </c>
      <c r="C109" s="3" t="s">
        <v>126</v>
      </c>
      <c r="D109" s="3" t="s">
        <v>148</v>
      </c>
      <c r="E109" s="2">
        <v>226.56</v>
      </c>
      <c r="F109" s="1">
        <v>0.1</v>
      </c>
      <c r="G109" s="2">
        <f t="shared" si="3"/>
        <v>22.656000000000002</v>
      </c>
    </row>
    <row r="110" spans="1:7" x14ac:dyDescent="0.3">
      <c r="A110" s="3" t="s">
        <v>99</v>
      </c>
      <c r="B110" s="3" t="s">
        <v>100</v>
      </c>
      <c r="C110" s="3" t="s">
        <v>127</v>
      </c>
      <c r="D110" s="3" t="s">
        <v>148</v>
      </c>
      <c r="E110" s="2">
        <v>646.38</v>
      </c>
      <c r="F110" s="1">
        <v>0.1</v>
      </c>
      <c r="G110" s="2">
        <f t="shared" si="3"/>
        <v>64.638000000000005</v>
      </c>
    </row>
    <row r="111" spans="1:7" x14ac:dyDescent="0.3">
      <c r="A111" s="3" t="s">
        <v>99</v>
      </c>
      <c r="B111" s="3" t="s">
        <v>100</v>
      </c>
      <c r="C111" s="3" t="s">
        <v>128</v>
      </c>
      <c r="D111" s="3" t="s">
        <v>148</v>
      </c>
      <c r="E111" s="2">
        <v>394.2</v>
      </c>
      <c r="F111" s="1">
        <v>0.1</v>
      </c>
      <c r="G111" s="2">
        <f t="shared" si="3"/>
        <v>39.42</v>
      </c>
    </row>
    <row r="112" spans="1:7" x14ac:dyDescent="0.3">
      <c r="A112" s="3" t="s">
        <v>129</v>
      </c>
      <c r="B112" s="3" t="s">
        <v>130</v>
      </c>
      <c r="C112" s="3" t="s">
        <v>131</v>
      </c>
      <c r="D112" s="3" t="s">
        <v>148</v>
      </c>
      <c r="E112" s="2">
        <v>1846.2</v>
      </c>
      <c r="F112" s="1">
        <v>0.1</v>
      </c>
      <c r="G112" s="2">
        <f t="shared" si="3"/>
        <v>184.62</v>
      </c>
    </row>
    <row r="113" spans="1:7" x14ac:dyDescent="0.3">
      <c r="A113" s="3" t="s">
        <v>129</v>
      </c>
      <c r="B113" s="3" t="s">
        <v>130</v>
      </c>
      <c r="C113" s="3" t="s">
        <v>132</v>
      </c>
      <c r="D113" s="3" t="s">
        <v>148</v>
      </c>
      <c r="E113" s="2">
        <v>4475.5200000000004</v>
      </c>
      <c r="F113" s="1">
        <v>0.1</v>
      </c>
      <c r="G113" s="2">
        <f t="shared" si="3"/>
        <v>447.55200000000008</v>
      </c>
    </row>
    <row r="114" spans="1:7" x14ac:dyDescent="0.3">
      <c r="A114" s="3" t="s">
        <v>129</v>
      </c>
      <c r="B114" s="3" t="s">
        <v>130</v>
      </c>
      <c r="C114" s="3" t="s">
        <v>133</v>
      </c>
      <c r="D114" s="3" t="s">
        <v>148</v>
      </c>
      <c r="E114" s="2">
        <v>293.52</v>
      </c>
      <c r="F114" s="1">
        <v>0.1</v>
      </c>
      <c r="G114" s="2">
        <f t="shared" si="3"/>
        <v>29.352</v>
      </c>
    </row>
    <row r="115" spans="1:7" x14ac:dyDescent="0.3">
      <c r="A115" s="3" t="s">
        <v>129</v>
      </c>
      <c r="B115" s="3" t="s">
        <v>130</v>
      </c>
      <c r="C115" s="3" t="s">
        <v>134</v>
      </c>
      <c r="D115" s="3" t="s">
        <v>148</v>
      </c>
      <c r="E115" s="2">
        <v>4923.97</v>
      </c>
      <c r="F115" s="1">
        <v>0.1</v>
      </c>
      <c r="G115" s="2">
        <f t="shared" si="3"/>
        <v>492.39700000000005</v>
      </c>
    </row>
    <row r="116" spans="1:7" x14ac:dyDescent="0.3">
      <c r="A116" s="3" t="s">
        <v>129</v>
      </c>
      <c r="B116" s="3" t="s">
        <v>130</v>
      </c>
      <c r="C116" s="3" t="s">
        <v>135</v>
      </c>
      <c r="D116" s="3" t="s">
        <v>148</v>
      </c>
      <c r="E116" s="2">
        <v>1840.86</v>
      </c>
      <c r="F116" s="1">
        <v>0.1</v>
      </c>
      <c r="G116" s="2">
        <f t="shared" si="3"/>
        <v>184.08600000000001</v>
      </c>
    </row>
    <row r="117" spans="1:7" x14ac:dyDescent="0.3">
      <c r="A117" s="3" t="s">
        <v>129</v>
      </c>
      <c r="B117" s="3" t="s">
        <v>130</v>
      </c>
      <c r="C117" s="3" t="s">
        <v>136</v>
      </c>
      <c r="D117" s="3" t="s">
        <v>148</v>
      </c>
      <c r="E117" s="2">
        <v>10140.799999999999</v>
      </c>
      <c r="F117" s="1">
        <v>0.1</v>
      </c>
      <c r="G117" s="2">
        <f t="shared" si="3"/>
        <v>1014.0799999999999</v>
      </c>
    </row>
    <row r="118" spans="1:7" x14ac:dyDescent="0.3">
      <c r="A118" s="3" t="s">
        <v>129</v>
      </c>
      <c r="B118" s="3" t="s">
        <v>130</v>
      </c>
      <c r="C118" s="3" t="s">
        <v>137</v>
      </c>
      <c r="D118" s="3" t="s">
        <v>148</v>
      </c>
      <c r="E118" s="2">
        <v>0</v>
      </c>
      <c r="F118" s="1">
        <v>0.1</v>
      </c>
      <c r="G118" s="2">
        <f t="shared" si="3"/>
        <v>0</v>
      </c>
    </row>
    <row r="119" spans="1:7" x14ac:dyDescent="0.3">
      <c r="A119" s="3" t="s">
        <v>129</v>
      </c>
      <c r="B119" s="3" t="s">
        <v>130</v>
      </c>
      <c r="C119" s="3" t="s">
        <v>138</v>
      </c>
      <c r="D119" s="3" t="s">
        <v>148</v>
      </c>
      <c r="E119" s="2">
        <v>123.55</v>
      </c>
      <c r="F119" s="1">
        <v>0.1</v>
      </c>
      <c r="G119" s="2">
        <f t="shared" si="3"/>
        <v>12.355</v>
      </c>
    </row>
    <row r="120" spans="1:7" x14ac:dyDescent="0.3">
      <c r="A120" s="3" t="s">
        <v>129</v>
      </c>
      <c r="B120" s="3" t="s">
        <v>130</v>
      </c>
      <c r="C120" s="3" t="s">
        <v>139</v>
      </c>
      <c r="D120" s="3" t="s">
        <v>148</v>
      </c>
      <c r="E120" s="2">
        <v>974.7</v>
      </c>
      <c r="F120" s="1">
        <v>0.1</v>
      </c>
      <c r="G120" s="2">
        <f t="shared" si="3"/>
        <v>97.470000000000013</v>
      </c>
    </row>
    <row r="121" spans="1:7" x14ac:dyDescent="0.3">
      <c r="A121" s="3" t="s">
        <v>129</v>
      </c>
      <c r="B121" s="3" t="s">
        <v>130</v>
      </c>
      <c r="C121" s="3" t="s">
        <v>140</v>
      </c>
      <c r="D121" s="3" t="s">
        <v>148</v>
      </c>
      <c r="E121" s="2">
        <v>9473.1</v>
      </c>
      <c r="F121" s="1">
        <v>0.1</v>
      </c>
      <c r="G121" s="2">
        <f t="shared" si="3"/>
        <v>947.31000000000006</v>
      </c>
    </row>
    <row r="122" spans="1:7" x14ac:dyDescent="0.3">
      <c r="A122" s="3" t="s">
        <v>141</v>
      </c>
      <c r="B122" s="3" t="s">
        <v>142</v>
      </c>
      <c r="C122" s="3" t="s">
        <v>143</v>
      </c>
      <c r="D122" s="3" t="s">
        <v>148</v>
      </c>
      <c r="E122" s="2">
        <v>2930.4</v>
      </c>
      <c r="F122" s="1">
        <v>0.1</v>
      </c>
      <c r="G122" s="2">
        <f t="shared" si="3"/>
        <v>293.04000000000002</v>
      </c>
    </row>
    <row r="123" spans="1:7" x14ac:dyDescent="0.3">
      <c r="A123" s="3" t="s">
        <v>141</v>
      </c>
      <c r="B123" s="3" t="s">
        <v>142</v>
      </c>
      <c r="C123" s="3" t="s">
        <v>144</v>
      </c>
      <c r="D123" s="3" t="s">
        <v>148</v>
      </c>
      <c r="E123" s="2">
        <v>6302.08</v>
      </c>
      <c r="F123" s="1">
        <v>0.1</v>
      </c>
      <c r="G123" s="2">
        <f t="shared" si="3"/>
        <v>630.20800000000008</v>
      </c>
    </row>
    <row r="124" spans="1:7" x14ac:dyDescent="0.3">
      <c r="A124" s="3" t="s">
        <v>141</v>
      </c>
      <c r="B124" s="3" t="s">
        <v>142</v>
      </c>
      <c r="C124" s="3" t="s">
        <v>145</v>
      </c>
      <c r="D124" s="3" t="s">
        <v>148</v>
      </c>
      <c r="E124" s="2">
        <v>2708.48</v>
      </c>
      <c r="F124" s="1">
        <v>0.1</v>
      </c>
      <c r="G124" s="2">
        <f t="shared" si="3"/>
        <v>270.84800000000001</v>
      </c>
    </row>
    <row r="125" spans="1:7" x14ac:dyDescent="0.3">
      <c r="A125" s="3" t="s">
        <v>141</v>
      </c>
      <c r="B125" s="3" t="s">
        <v>142</v>
      </c>
      <c r="C125" s="3" t="s">
        <v>146</v>
      </c>
      <c r="D125" s="3" t="s">
        <v>148</v>
      </c>
      <c r="E125" s="2">
        <v>10157.950000000001</v>
      </c>
      <c r="F125" s="1">
        <v>0.1</v>
      </c>
      <c r="G125" s="2">
        <f t="shared" si="3"/>
        <v>1015.7950000000001</v>
      </c>
    </row>
    <row r="126" spans="1:7" x14ac:dyDescent="0.3">
      <c r="A126" s="3" t="s">
        <v>141</v>
      </c>
      <c r="B126" s="3" t="s">
        <v>142</v>
      </c>
      <c r="C126" s="3" t="s">
        <v>147</v>
      </c>
      <c r="D126" s="3" t="s">
        <v>148</v>
      </c>
      <c r="E126" s="2">
        <v>5359.76</v>
      </c>
      <c r="F126" s="1">
        <v>0.1</v>
      </c>
      <c r="G126" s="2">
        <f t="shared" si="3"/>
        <v>535.976</v>
      </c>
    </row>
    <row r="127" spans="1:7" x14ac:dyDescent="0.3">
      <c r="A127" s="3" t="s">
        <v>4</v>
      </c>
      <c r="B127" s="3" t="s">
        <v>5</v>
      </c>
      <c r="C127" s="3" t="s">
        <v>6</v>
      </c>
      <c r="D127" s="3" t="s">
        <v>151</v>
      </c>
      <c r="E127" s="2">
        <v>625.29999999999995</v>
      </c>
      <c r="F127" s="1">
        <v>0.1</v>
      </c>
      <c r="G127" s="2">
        <f t="shared" si="3"/>
        <v>62.53</v>
      </c>
    </row>
    <row r="128" spans="1:7" x14ac:dyDescent="0.3">
      <c r="A128" s="3" t="s">
        <v>4</v>
      </c>
      <c r="B128" s="3" t="s">
        <v>7</v>
      </c>
      <c r="C128" s="3" t="s">
        <v>10</v>
      </c>
      <c r="D128" s="3" t="s">
        <v>151</v>
      </c>
      <c r="E128" s="2">
        <v>4282.24</v>
      </c>
      <c r="F128" s="1">
        <v>0.1</v>
      </c>
      <c r="G128" s="2">
        <f t="shared" si="3"/>
        <v>428.22399999999999</v>
      </c>
    </row>
    <row r="129" spans="1:7" x14ac:dyDescent="0.3">
      <c r="A129" s="3" t="s">
        <v>4</v>
      </c>
      <c r="B129" s="3" t="s">
        <v>11</v>
      </c>
      <c r="C129" s="3" t="s">
        <v>8</v>
      </c>
      <c r="D129" s="3" t="s">
        <v>151</v>
      </c>
      <c r="E129" s="2">
        <v>4209.28</v>
      </c>
      <c r="F129" s="1">
        <v>0.1</v>
      </c>
      <c r="G129" s="2">
        <f t="shared" si="3"/>
        <v>420.928</v>
      </c>
    </row>
    <row r="130" spans="1:7" x14ac:dyDescent="0.3">
      <c r="A130" s="3" t="s">
        <v>4</v>
      </c>
      <c r="B130" s="3" t="s">
        <v>11</v>
      </c>
      <c r="C130" s="3" t="s">
        <v>152</v>
      </c>
      <c r="D130" s="3" t="s">
        <v>151</v>
      </c>
      <c r="E130" s="2">
        <v>16.899999999999999</v>
      </c>
      <c r="F130" s="1">
        <v>0.1</v>
      </c>
      <c r="G130" s="2">
        <f t="shared" ref="G130:G161" si="4">E130*F130</f>
        <v>1.69</v>
      </c>
    </row>
    <row r="131" spans="1:7" x14ac:dyDescent="0.3">
      <c r="A131" s="3" t="s">
        <v>4</v>
      </c>
      <c r="B131" s="3" t="s">
        <v>11</v>
      </c>
      <c r="C131" s="3" t="s">
        <v>13</v>
      </c>
      <c r="D131" s="3" t="s">
        <v>151</v>
      </c>
      <c r="E131" s="2">
        <v>170.24</v>
      </c>
      <c r="F131" s="1">
        <v>0.1</v>
      </c>
      <c r="G131" s="2">
        <f t="shared" si="4"/>
        <v>17.024000000000001</v>
      </c>
    </row>
    <row r="132" spans="1:7" x14ac:dyDescent="0.3">
      <c r="A132" s="3" t="s">
        <v>4</v>
      </c>
      <c r="B132" s="3" t="s">
        <v>14</v>
      </c>
      <c r="C132" s="3" t="s">
        <v>15</v>
      </c>
      <c r="D132" s="3" t="s">
        <v>151</v>
      </c>
      <c r="E132" s="2">
        <v>103.9</v>
      </c>
      <c r="F132" s="1">
        <v>0.1</v>
      </c>
      <c r="G132" s="2">
        <f t="shared" si="4"/>
        <v>10.39</v>
      </c>
    </row>
    <row r="133" spans="1:7" x14ac:dyDescent="0.3">
      <c r="A133" s="3" t="s">
        <v>4</v>
      </c>
      <c r="B133" s="3" t="s">
        <v>14</v>
      </c>
      <c r="C133" s="3" t="s">
        <v>153</v>
      </c>
      <c r="D133" s="3" t="s">
        <v>151</v>
      </c>
      <c r="E133" s="2">
        <v>3385.3</v>
      </c>
      <c r="F133" s="1">
        <v>0.1</v>
      </c>
      <c r="G133" s="2">
        <f t="shared" si="4"/>
        <v>338.53000000000003</v>
      </c>
    </row>
    <row r="134" spans="1:7" x14ac:dyDescent="0.3">
      <c r="A134" s="3" t="s">
        <v>4</v>
      </c>
      <c r="B134" s="3" t="s">
        <v>14</v>
      </c>
      <c r="C134" s="3" t="s">
        <v>12</v>
      </c>
      <c r="D134" s="3" t="s">
        <v>151</v>
      </c>
      <c r="E134" s="2">
        <v>2209.35</v>
      </c>
      <c r="F134" s="1">
        <v>0.1</v>
      </c>
      <c r="G134" s="2">
        <f t="shared" si="4"/>
        <v>220.935</v>
      </c>
    </row>
    <row r="135" spans="1:7" x14ac:dyDescent="0.3">
      <c r="A135" s="3" t="s">
        <v>4</v>
      </c>
      <c r="B135" s="3" t="s">
        <v>14</v>
      </c>
      <c r="C135" s="3" t="s">
        <v>17</v>
      </c>
      <c r="D135" s="3" t="s">
        <v>151</v>
      </c>
      <c r="E135" s="2">
        <v>216.45</v>
      </c>
      <c r="F135" s="1">
        <v>0.1</v>
      </c>
      <c r="G135" s="2">
        <f t="shared" si="4"/>
        <v>21.645</v>
      </c>
    </row>
    <row r="136" spans="1:7" x14ac:dyDescent="0.3">
      <c r="A136" s="3" t="s">
        <v>4</v>
      </c>
      <c r="B136" s="3" t="s">
        <v>14</v>
      </c>
      <c r="C136" s="3" t="s">
        <v>20</v>
      </c>
      <c r="D136" s="3" t="s">
        <v>151</v>
      </c>
      <c r="E136" s="2">
        <v>182.4</v>
      </c>
      <c r="F136" s="1">
        <v>0.1</v>
      </c>
      <c r="G136" s="2">
        <f t="shared" si="4"/>
        <v>18.240000000000002</v>
      </c>
    </row>
    <row r="137" spans="1:7" x14ac:dyDescent="0.3">
      <c r="A137" s="3" t="s">
        <v>4</v>
      </c>
      <c r="B137" s="3" t="s">
        <v>14</v>
      </c>
      <c r="C137" s="3" t="s">
        <v>21</v>
      </c>
      <c r="D137" s="3" t="s">
        <v>151</v>
      </c>
      <c r="E137" s="2">
        <v>1202.5</v>
      </c>
      <c r="F137" s="1">
        <v>0.1</v>
      </c>
      <c r="G137" s="2">
        <f t="shared" si="4"/>
        <v>120.25</v>
      </c>
    </row>
    <row r="138" spans="1:7" x14ac:dyDescent="0.3">
      <c r="A138" s="3" t="s">
        <v>4</v>
      </c>
      <c r="B138" s="3" t="s">
        <v>22</v>
      </c>
      <c r="C138" s="3" t="s">
        <v>23</v>
      </c>
      <c r="D138" s="3" t="s">
        <v>151</v>
      </c>
      <c r="E138" s="2">
        <v>0</v>
      </c>
      <c r="F138" s="1">
        <v>0.1</v>
      </c>
      <c r="G138" s="2">
        <f t="shared" si="4"/>
        <v>0</v>
      </c>
    </row>
    <row r="139" spans="1:7" x14ac:dyDescent="0.3">
      <c r="A139" s="3" t="s">
        <v>4</v>
      </c>
      <c r="B139" s="3" t="s">
        <v>24</v>
      </c>
      <c r="C139" s="3" t="s">
        <v>25</v>
      </c>
      <c r="D139" s="3" t="s">
        <v>151</v>
      </c>
      <c r="E139" s="2">
        <v>1301.1199999999999</v>
      </c>
      <c r="F139" s="1">
        <v>0.1</v>
      </c>
      <c r="G139" s="2">
        <f t="shared" si="4"/>
        <v>130.11199999999999</v>
      </c>
    </row>
    <row r="140" spans="1:7" x14ac:dyDescent="0.3">
      <c r="A140" s="3" t="s">
        <v>4</v>
      </c>
      <c r="B140" s="3" t="s">
        <v>26</v>
      </c>
      <c r="C140" s="3" t="s">
        <v>25</v>
      </c>
      <c r="D140" s="3" t="s">
        <v>151</v>
      </c>
      <c r="E140" s="2">
        <v>1301.1199999999999</v>
      </c>
      <c r="F140" s="1">
        <v>0.1</v>
      </c>
      <c r="G140" s="2">
        <f t="shared" si="4"/>
        <v>130.11199999999999</v>
      </c>
    </row>
    <row r="141" spans="1:7" x14ac:dyDescent="0.3">
      <c r="A141" s="3" t="s">
        <v>27</v>
      </c>
      <c r="B141" s="3" t="s">
        <v>28</v>
      </c>
      <c r="C141" s="3" t="s">
        <v>29</v>
      </c>
      <c r="D141" s="3" t="s">
        <v>151</v>
      </c>
      <c r="E141" s="2">
        <v>10827.67</v>
      </c>
      <c r="F141" s="1">
        <v>0.1</v>
      </c>
      <c r="G141" s="2">
        <f t="shared" si="4"/>
        <v>1082.7670000000001</v>
      </c>
    </row>
    <row r="142" spans="1:7" x14ac:dyDescent="0.3">
      <c r="A142" s="3" t="s">
        <v>27</v>
      </c>
      <c r="B142" s="3" t="s">
        <v>28</v>
      </c>
      <c r="C142" s="3" t="s">
        <v>30</v>
      </c>
      <c r="D142" s="3" t="s">
        <v>151</v>
      </c>
      <c r="E142" s="2">
        <v>1972.89</v>
      </c>
      <c r="F142" s="1">
        <v>0.1</v>
      </c>
      <c r="G142" s="2">
        <f t="shared" si="4"/>
        <v>197.28900000000002</v>
      </c>
    </row>
    <row r="143" spans="1:7" x14ac:dyDescent="0.3">
      <c r="A143" s="3" t="s">
        <v>31</v>
      </c>
      <c r="B143" s="3" t="s">
        <v>32</v>
      </c>
      <c r="C143" s="3" t="s">
        <v>33</v>
      </c>
      <c r="D143" s="3" t="s">
        <v>151</v>
      </c>
      <c r="E143" s="2">
        <v>6993.28</v>
      </c>
      <c r="F143" s="1">
        <v>0.08</v>
      </c>
      <c r="G143" s="2">
        <f t="shared" si="4"/>
        <v>559.4624</v>
      </c>
    </row>
    <row r="144" spans="1:7" x14ac:dyDescent="0.3">
      <c r="A144" s="3" t="s">
        <v>31</v>
      </c>
      <c r="B144" s="3" t="s">
        <v>32</v>
      </c>
      <c r="C144" s="3" t="s">
        <v>34</v>
      </c>
      <c r="D144" s="3" t="s">
        <v>151</v>
      </c>
      <c r="E144" s="2">
        <v>5920.64</v>
      </c>
      <c r="F144" s="1">
        <v>0.08</v>
      </c>
      <c r="G144" s="2">
        <f t="shared" si="4"/>
        <v>473.65120000000002</v>
      </c>
    </row>
    <row r="145" spans="1:7" x14ac:dyDescent="0.3">
      <c r="A145" s="3" t="s">
        <v>31</v>
      </c>
      <c r="B145" s="3" t="s">
        <v>32</v>
      </c>
      <c r="C145" s="3" t="s">
        <v>35</v>
      </c>
      <c r="D145" s="3" t="s">
        <v>151</v>
      </c>
      <c r="E145" s="2">
        <v>2229.7600000000002</v>
      </c>
      <c r="F145" s="1">
        <v>0.08</v>
      </c>
      <c r="G145" s="2">
        <f t="shared" si="4"/>
        <v>178.38080000000002</v>
      </c>
    </row>
    <row r="146" spans="1:7" x14ac:dyDescent="0.3">
      <c r="A146" s="3" t="s">
        <v>31</v>
      </c>
      <c r="B146" s="3" t="s">
        <v>32</v>
      </c>
      <c r="C146" s="3" t="s">
        <v>36</v>
      </c>
      <c r="D146" s="3" t="s">
        <v>151</v>
      </c>
      <c r="E146" s="2">
        <v>1454.72</v>
      </c>
      <c r="F146" s="1">
        <v>0.08</v>
      </c>
      <c r="G146" s="2">
        <f t="shared" si="4"/>
        <v>116.3776</v>
      </c>
    </row>
    <row r="147" spans="1:7" x14ac:dyDescent="0.3">
      <c r="A147" s="3" t="s">
        <v>31</v>
      </c>
      <c r="B147" s="3" t="s">
        <v>32</v>
      </c>
      <c r="C147" s="3" t="s">
        <v>37</v>
      </c>
      <c r="D147" s="3" t="s">
        <v>151</v>
      </c>
      <c r="E147" s="2">
        <v>1762.56</v>
      </c>
      <c r="F147" s="1">
        <v>0.08</v>
      </c>
      <c r="G147" s="2">
        <f t="shared" si="4"/>
        <v>141.00479999999999</v>
      </c>
    </row>
    <row r="148" spans="1:7" x14ac:dyDescent="0.3">
      <c r="A148" s="3" t="s">
        <v>31</v>
      </c>
      <c r="B148" s="3" t="s">
        <v>32</v>
      </c>
      <c r="C148" s="3" t="s">
        <v>38</v>
      </c>
      <c r="D148" s="3" t="s">
        <v>151</v>
      </c>
      <c r="E148" s="2">
        <v>1858.14</v>
      </c>
      <c r="F148" s="1">
        <v>0.08</v>
      </c>
      <c r="G148" s="2">
        <f t="shared" si="4"/>
        <v>148.65120000000002</v>
      </c>
    </row>
    <row r="149" spans="1:7" x14ac:dyDescent="0.3">
      <c r="A149" s="3" t="s">
        <v>31</v>
      </c>
      <c r="B149" s="3" t="s">
        <v>32</v>
      </c>
      <c r="C149" s="3" t="s">
        <v>39</v>
      </c>
      <c r="D149" s="3" t="s">
        <v>151</v>
      </c>
      <c r="E149" s="2">
        <v>2284.8000000000002</v>
      </c>
      <c r="F149" s="1">
        <v>0.08</v>
      </c>
      <c r="G149" s="2">
        <f t="shared" si="4"/>
        <v>182.78400000000002</v>
      </c>
    </row>
    <row r="150" spans="1:7" x14ac:dyDescent="0.3">
      <c r="A150" s="3" t="s">
        <v>31</v>
      </c>
      <c r="B150" s="3" t="s">
        <v>32</v>
      </c>
      <c r="C150" s="3" t="s">
        <v>40</v>
      </c>
      <c r="D150" s="3" t="s">
        <v>151</v>
      </c>
      <c r="E150" s="2">
        <v>2589.44</v>
      </c>
      <c r="F150" s="1">
        <v>0.08</v>
      </c>
      <c r="G150" s="2">
        <f t="shared" si="4"/>
        <v>207.15520000000001</v>
      </c>
    </row>
    <row r="151" spans="1:7" x14ac:dyDescent="0.3">
      <c r="A151" s="3" t="s">
        <v>31</v>
      </c>
      <c r="B151" s="3" t="s">
        <v>32</v>
      </c>
      <c r="C151" s="3" t="s">
        <v>41</v>
      </c>
      <c r="D151" s="3" t="s">
        <v>151</v>
      </c>
      <c r="E151" s="2">
        <v>3970.52</v>
      </c>
      <c r="F151" s="1">
        <v>0.08</v>
      </c>
      <c r="G151" s="2">
        <f t="shared" si="4"/>
        <v>317.64159999999998</v>
      </c>
    </row>
    <row r="152" spans="1:7" x14ac:dyDescent="0.3">
      <c r="A152" s="3" t="s">
        <v>31</v>
      </c>
      <c r="B152" s="3" t="s">
        <v>32</v>
      </c>
      <c r="C152" s="3" t="s">
        <v>42</v>
      </c>
      <c r="D152" s="3" t="s">
        <v>151</v>
      </c>
      <c r="E152" s="2">
        <v>1874.34</v>
      </c>
      <c r="F152" s="1">
        <v>0.08</v>
      </c>
      <c r="G152" s="2">
        <f t="shared" si="4"/>
        <v>149.94720000000001</v>
      </c>
    </row>
    <row r="153" spans="1:7" x14ac:dyDescent="0.3">
      <c r="A153" s="3" t="s">
        <v>31</v>
      </c>
      <c r="B153" s="3" t="s">
        <v>32</v>
      </c>
      <c r="C153" s="6" t="s">
        <v>43</v>
      </c>
      <c r="D153" s="3" t="s">
        <v>151</v>
      </c>
      <c r="E153" s="2">
        <v>3972.24</v>
      </c>
      <c r="F153" s="1">
        <v>0.08</v>
      </c>
      <c r="G153" s="2">
        <f t="shared" si="4"/>
        <v>317.7792</v>
      </c>
    </row>
    <row r="154" spans="1:7" x14ac:dyDescent="0.3">
      <c r="A154" s="3" t="s">
        <v>31</v>
      </c>
      <c r="B154" s="3" t="s">
        <v>32</v>
      </c>
      <c r="C154" s="3" t="s">
        <v>44</v>
      </c>
      <c r="D154" s="3" t="s">
        <v>151</v>
      </c>
      <c r="E154" s="2">
        <v>673.86</v>
      </c>
      <c r="F154" s="1">
        <v>0.08</v>
      </c>
      <c r="G154" s="2">
        <f t="shared" si="4"/>
        <v>53.908799999999999</v>
      </c>
    </row>
    <row r="155" spans="1:7" x14ac:dyDescent="0.3">
      <c r="A155" s="3" t="s">
        <v>31</v>
      </c>
      <c r="B155" s="3" t="s">
        <v>32</v>
      </c>
      <c r="C155" s="3" t="s">
        <v>45</v>
      </c>
      <c r="D155" s="3" t="s">
        <v>151</v>
      </c>
      <c r="E155" s="2">
        <v>525.36</v>
      </c>
      <c r="F155" s="1">
        <v>0.08</v>
      </c>
      <c r="G155" s="2">
        <f t="shared" si="4"/>
        <v>42.028800000000004</v>
      </c>
    </row>
    <row r="156" spans="1:7" x14ac:dyDescent="0.3">
      <c r="A156" s="3" t="s">
        <v>31</v>
      </c>
      <c r="B156" s="3" t="s">
        <v>32</v>
      </c>
      <c r="C156" s="3" t="s">
        <v>46</v>
      </c>
      <c r="D156" s="3" t="s">
        <v>151</v>
      </c>
      <c r="E156" s="2">
        <v>1149.72</v>
      </c>
      <c r="F156" s="1">
        <v>0.08</v>
      </c>
      <c r="G156" s="2">
        <f t="shared" si="4"/>
        <v>91.97760000000001</v>
      </c>
    </row>
    <row r="157" spans="1:7" x14ac:dyDescent="0.3">
      <c r="A157" s="3" t="s">
        <v>31</v>
      </c>
      <c r="B157" s="3" t="s">
        <v>32</v>
      </c>
      <c r="C157" s="3" t="s">
        <v>47</v>
      </c>
      <c r="D157" s="3" t="s">
        <v>151</v>
      </c>
      <c r="E157" s="2">
        <v>361.68</v>
      </c>
      <c r="F157" s="1">
        <v>0.08</v>
      </c>
      <c r="G157" s="2">
        <f t="shared" si="4"/>
        <v>28.9344</v>
      </c>
    </row>
    <row r="158" spans="1:7" x14ac:dyDescent="0.3">
      <c r="A158" s="3" t="s">
        <v>31</v>
      </c>
      <c r="B158" s="3" t="s">
        <v>32</v>
      </c>
      <c r="C158" s="3" t="s">
        <v>48</v>
      </c>
      <c r="D158" s="3" t="s">
        <v>151</v>
      </c>
      <c r="E158" s="2">
        <v>1538.46</v>
      </c>
      <c r="F158" s="1">
        <v>0.08</v>
      </c>
      <c r="G158" s="2">
        <f t="shared" si="4"/>
        <v>123.07680000000001</v>
      </c>
    </row>
    <row r="159" spans="1:7" x14ac:dyDescent="0.3">
      <c r="A159" s="3" t="s">
        <v>31</v>
      </c>
      <c r="B159" s="3" t="s">
        <v>32</v>
      </c>
      <c r="C159" s="3" t="s">
        <v>49</v>
      </c>
      <c r="D159" s="3" t="s">
        <v>151</v>
      </c>
      <c r="E159" s="2">
        <v>1244.0999999999999</v>
      </c>
      <c r="F159" s="1">
        <v>0.08</v>
      </c>
      <c r="G159" s="2">
        <f t="shared" si="4"/>
        <v>99.527999999999992</v>
      </c>
    </row>
    <row r="160" spans="1:7" x14ac:dyDescent="0.3">
      <c r="A160" s="3" t="s">
        <v>31</v>
      </c>
      <c r="B160" s="3" t="s">
        <v>32</v>
      </c>
      <c r="C160" s="3" t="s">
        <v>50</v>
      </c>
      <c r="D160" s="3" t="s">
        <v>151</v>
      </c>
      <c r="E160" s="2">
        <v>221.29</v>
      </c>
      <c r="F160" s="1">
        <v>0.08</v>
      </c>
      <c r="G160" s="2">
        <f t="shared" si="4"/>
        <v>17.703199999999999</v>
      </c>
    </row>
    <row r="161" spans="1:7" x14ac:dyDescent="0.3">
      <c r="A161" s="3" t="s">
        <v>31</v>
      </c>
      <c r="B161" s="3" t="s">
        <v>32</v>
      </c>
      <c r="C161" s="3" t="s">
        <v>51</v>
      </c>
      <c r="D161" s="3" t="s">
        <v>151</v>
      </c>
      <c r="E161" s="2">
        <v>87.6</v>
      </c>
      <c r="F161" s="1">
        <v>0.08</v>
      </c>
      <c r="G161" s="2">
        <f t="shared" si="4"/>
        <v>7.008</v>
      </c>
    </row>
    <row r="162" spans="1:7" x14ac:dyDescent="0.3">
      <c r="A162" s="3" t="s">
        <v>31</v>
      </c>
      <c r="B162" s="3" t="s">
        <v>32</v>
      </c>
      <c r="C162" s="3" t="s">
        <v>52</v>
      </c>
      <c r="D162" s="3" t="s">
        <v>151</v>
      </c>
      <c r="E162" s="2">
        <v>354.99</v>
      </c>
      <c r="F162" s="1">
        <v>0.08</v>
      </c>
      <c r="G162" s="2">
        <f t="shared" ref="G162:G193" si="5">E162*F162</f>
        <v>28.3992</v>
      </c>
    </row>
    <row r="163" spans="1:7" x14ac:dyDescent="0.3">
      <c r="A163" s="3" t="s">
        <v>31</v>
      </c>
      <c r="B163" s="3" t="s">
        <v>32</v>
      </c>
      <c r="C163" s="3" t="s">
        <v>53</v>
      </c>
      <c r="D163" s="3" t="s">
        <v>151</v>
      </c>
      <c r="E163" s="2">
        <v>272.02</v>
      </c>
      <c r="F163" s="1">
        <v>0.08</v>
      </c>
      <c r="G163" s="2">
        <f t="shared" si="5"/>
        <v>21.761599999999998</v>
      </c>
    </row>
    <row r="164" spans="1:7" x14ac:dyDescent="0.3">
      <c r="A164" s="3" t="s">
        <v>31</v>
      </c>
      <c r="B164" s="3" t="s">
        <v>32</v>
      </c>
      <c r="C164" s="3" t="s">
        <v>54</v>
      </c>
      <c r="D164" s="3" t="s">
        <v>151</v>
      </c>
      <c r="E164" s="2">
        <v>282.74</v>
      </c>
      <c r="F164" s="1">
        <v>0.08</v>
      </c>
      <c r="G164" s="2">
        <f t="shared" si="5"/>
        <v>22.619200000000003</v>
      </c>
    </row>
    <row r="165" spans="1:7" x14ac:dyDescent="0.3">
      <c r="A165" s="3" t="s">
        <v>31</v>
      </c>
      <c r="B165" s="3" t="s">
        <v>32</v>
      </c>
      <c r="C165" s="3" t="s">
        <v>55</v>
      </c>
      <c r="D165" s="3" t="s">
        <v>151</v>
      </c>
      <c r="E165" s="2">
        <v>357.3</v>
      </c>
      <c r="F165" s="1">
        <v>0.08</v>
      </c>
      <c r="G165" s="2">
        <f t="shared" si="5"/>
        <v>28.584000000000003</v>
      </c>
    </row>
    <row r="166" spans="1:7" x14ac:dyDescent="0.3">
      <c r="A166" s="3" t="s">
        <v>31</v>
      </c>
      <c r="B166" s="3" t="s">
        <v>32</v>
      </c>
      <c r="C166" s="3" t="s">
        <v>56</v>
      </c>
      <c r="D166" s="3" t="s">
        <v>151</v>
      </c>
      <c r="E166" s="2">
        <v>534.79</v>
      </c>
      <c r="F166" s="1">
        <v>0.08</v>
      </c>
      <c r="G166" s="2">
        <f t="shared" si="5"/>
        <v>42.783200000000001</v>
      </c>
    </row>
    <row r="167" spans="1:7" x14ac:dyDescent="0.3">
      <c r="A167" s="3" t="s">
        <v>31</v>
      </c>
      <c r="B167" s="3" t="s">
        <v>32</v>
      </c>
      <c r="C167" s="3" t="s">
        <v>57</v>
      </c>
      <c r="D167" s="3" t="s">
        <v>151</v>
      </c>
      <c r="E167" s="2">
        <v>735.66</v>
      </c>
      <c r="F167" s="1">
        <v>0.08</v>
      </c>
      <c r="G167" s="2">
        <f t="shared" si="5"/>
        <v>58.852800000000002</v>
      </c>
    </row>
    <row r="168" spans="1:7" x14ac:dyDescent="0.3">
      <c r="A168" s="3" t="s">
        <v>31</v>
      </c>
      <c r="B168" s="3" t="s">
        <v>32</v>
      </c>
      <c r="C168" s="3" t="s">
        <v>58</v>
      </c>
      <c r="D168" s="3" t="s">
        <v>151</v>
      </c>
      <c r="E168" s="2">
        <v>1094.49</v>
      </c>
      <c r="F168" s="1">
        <v>0.08</v>
      </c>
      <c r="G168" s="2">
        <f t="shared" si="5"/>
        <v>87.559200000000004</v>
      </c>
    </row>
    <row r="169" spans="1:7" x14ac:dyDescent="0.3">
      <c r="A169" s="3" t="s">
        <v>31</v>
      </c>
      <c r="B169" s="3" t="s">
        <v>32</v>
      </c>
      <c r="C169" s="3" t="s">
        <v>59</v>
      </c>
      <c r="D169" s="3" t="s">
        <v>151</v>
      </c>
      <c r="E169" s="2">
        <v>1009.19</v>
      </c>
      <c r="F169" s="1">
        <v>0.08</v>
      </c>
      <c r="G169" s="2">
        <f t="shared" si="5"/>
        <v>80.735200000000006</v>
      </c>
    </row>
    <row r="170" spans="1:7" x14ac:dyDescent="0.3">
      <c r="A170" s="3" t="s">
        <v>60</v>
      </c>
      <c r="B170" s="3" t="s">
        <v>61</v>
      </c>
      <c r="C170" s="3" t="s">
        <v>63</v>
      </c>
      <c r="D170" s="3" t="s">
        <v>151</v>
      </c>
      <c r="E170" s="2">
        <v>2281.6</v>
      </c>
      <c r="F170" s="1">
        <v>0.05</v>
      </c>
      <c r="G170" s="2">
        <f t="shared" si="5"/>
        <v>114.08</v>
      </c>
    </row>
    <row r="171" spans="1:7" x14ac:dyDescent="0.3">
      <c r="A171" s="3" t="s">
        <v>60</v>
      </c>
      <c r="B171" s="3" t="s">
        <v>61</v>
      </c>
      <c r="C171" s="3" t="s">
        <v>154</v>
      </c>
      <c r="D171" s="3" t="s">
        <v>151</v>
      </c>
      <c r="E171" s="2">
        <v>4554.24</v>
      </c>
      <c r="F171" s="1">
        <v>0.05</v>
      </c>
      <c r="G171" s="2">
        <f t="shared" si="5"/>
        <v>227.71199999999999</v>
      </c>
    </row>
    <row r="172" spans="1:7" x14ac:dyDescent="0.3">
      <c r="A172" s="3" t="s">
        <v>60</v>
      </c>
      <c r="B172" s="3" t="s">
        <v>61</v>
      </c>
      <c r="C172" s="3" t="s">
        <v>66</v>
      </c>
      <c r="D172" s="3" t="s">
        <v>151</v>
      </c>
      <c r="E172" s="2">
        <v>5114.88</v>
      </c>
      <c r="F172" s="1">
        <v>0.05</v>
      </c>
      <c r="G172" s="2">
        <f t="shared" si="5"/>
        <v>255.74400000000003</v>
      </c>
    </row>
    <row r="173" spans="1:7" x14ac:dyDescent="0.3">
      <c r="A173" s="3" t="s">
        <v>60</v>
      </c>
      <c r="B173" s="3" t="s">
        <v>61</v>
      </c>
      <c r="C173" s="3" t="s">
        <v>67</v>
      </c>
      <c r="D173" s="3" t="s">
        <v>151</v>
      </c>
      <c r="E173" s="2">
        <v>2676.7</v>
      </c>
      <c r="F173" s="1">
        <v>0.05</v>
      </c>
      <c r="G173" s="2">
        <f t="shared" si="5"/>
        <v>133.83500000000001</v>
      </c>
    </row>
    <row r="174" spans="1:7" x14ac:dyDescent="0.3">
      <c r="A174" s="3" t="s">
        <v>60</v>
      </c>
      <c r="B174" s="3" t="s">
        <v>61</v>
      </c>
      <c r="C174" s="3" t="s">
        <v>68</v>
      </c>
      <c r="D174" s="3" t="s">
        <v>151</v>
      </c>
      <c r="E174" s="2">
        <v>3339.12</v>
      </c>
      <c r="F174" s="1">
        <v>0.05</v>
      </c>
      <c r="G174" s="2">
        <f t="shared" si="5"/>
        <v>166.95600000000002</v>
      </c>
    </row>
    <row r="175" spans="1:7" x14ac:dyDescent="0.3">
      <c r="A175" s="3" t="s">
        <v>60</v>
      </c>
      <c r="B175" s="3" t="s">
        <v>61</v>
      </c>
      <c r="C175" s="3" t="s">
        <v>69</v>
      </c>
      <c r="D175" s="3" t="s">
        <v>151</v>
      </c>
      <c r="E175" s="2">
        <v>2411.52</v>
      </c>
      <c r="F175" s="1">
        <v>0.05</v>
      </c>
      <c r="G175" s="2">
        <f t="shared" si="5"/>
        <v>120.57600000000001</v>
      </c>
    </row>
    <row r="176" spans="1:7" x14ac:dyDescent="0.3">
      <c r="A176" s="3" t="s">
        <v>60</v>
      </c>
      <c r="B176" s="3" t="s">
        <v>61</v>
      </c>
      <c r="C176" s="3" t="s">
        <v>72</v>
      </c>
      <c r="D176" s="3" t="s">
        <v>151</v>
      </c>
      <c r="E176" s="2">
        <v>1457.28</v>
      </c>
      <c r="F176" s="1">
        <v>0.05</v>
      </c>
      <c r="G176" s="2">
        <f t="shared" si="5"/>
        <v>72.864000000000004</v>
      </c>
    </row>
    <row r="177" spans="1:7" x14ac:dyDescent="0.3">
      <c r="A177" s="3" t="s">
        <v>60</v>
      </c>
      <c r="B177" s="3" t="s">
        <v>61</v>
      </c>
      <c r="C177" s="3" t="s">
        <v>73</v>
      </c>
      <c r="D177" s="3" t="s">
        <v>151</v>
      </c>
      <c r="E177" s="2">
        <v>2136.3200000000002</v>
      </c>
      <c r="F177" s="1">
        <v>0.05</v>
      </c>
      <c r="G177" s="2">
        <f t="shared" si="5"/>
        <v>106.81600000000002</v>
      </c>
    </row>
    <row r="178" spans="1:7" x14ac:dyDescent="0.3">
      <c r="A178" s="3" t="s">
        <v>60</v>
      </c>
      <c r="B178" s="3" t="s">
        <v>61</v>
      </c>
      <c r="C178" s="3" t="s">
        <v>75</v>
      </c>
      <c r="D178" s="3" t="s">
        <v>151</v>
      </c>
      <c r="E178" s="2">
        <v>2017.92</v>
      </c>
      <c r="F178" s="1">
        <v>0.05</v>
      </c>
      <c r="G178" s="2">
        <f t="shared" si="5"/>
        <v>100.89600000000002</v>
      </c>
    </row>
    <row r="179" spans="1:7" x14ac:dyDescent="0.3">
      <c r="A179" s="3" t="s">
        <v>60</v>
      </c>
      <c r="B179" s="3" t="s">
        <v>61</v>
      </c>
      <c r="C179" s="3" t="s">
        <v>76</v>
      </c>
      <c r="D179" s="3" t="s">
        <v>151</v>
      </c>
      <c r="E179" s="2">
        <v>2946.45</v>
      </c>
      <c r="F179" s="1">
        <v>0.05</v>
      </c>
      <c r="G179" s="2">
        <f t="shared" si="5"/>
        <v>147.32249999999999</v>
      </c>
    </row>
    <row r="180" spans="1:7" x14ac:dyDescent="0.3">
      <c r="A180" s="3" t="s">
        <v>60</v>
      </c>
      <c r="B180" s="3" t="s">
        <v>61</v>
      </c>
      <c r="C180" s="3" t="s">
        <v>77</v>
      </c>
      <c r="D180" s="3" t="s">
        <v>151</v>
      </c>
      <c r="E180" s="2">
        <v>3961.98</v>
      </c>
      <c r="F180" s="1">
        <v>0.05</v>
      </c>
      <c r="G180" s="2">
        <f t="shared" si="5"/>
        <v>198.09900000000002</v>
      </c>
    </row>
    <row r="181" spans="1:7" x14ac:dyDescent="0.3">
      <c r="A181" s="3" t="s">
        <v>60</v>
      </c>
      <c r="B181" s="3" t="s">
        <v>78</v>
      </c>
      <c r="C181" s="3" t="s">
        <v>79</v>
      </c>
      <c r="D181" s="3" t="s">
        <v>151</v>
      </c>
      <c r="E181" s="2">
        <v>5862.96</v>
      </c>
      <c r="F181" s="1">
        <v>0.05</v>
      </c>
      <c r="G181" s="2">
        <f t="shared" si="5"/>
        <v>293.14800000000002</v>
      </c>
    </row>
    <row r="182" spans="1:7" x14ac:dyDescent="0.3">
      <c r="A182" s="3" t="s">
        <v>60</v>
      </c>
      <c r="B182" s="3" t="s">
        <v>78</v>
      </c>
      <c r="C182" s="3" t="s">
        <v>80</v>
      </c>
      <c r="D182" s="3" t="s">
        <v>151</v>
      </c>
      <c r="E182" s="2">
        <v>11147.52</v>
      </c>
      <c r="F182" s="1">
        <v>0.05</v>
      </c>
      <c r="G182" s="2">
        <f t="shared" si="5"/>
        <v>557.37600000000009</v>
      </c>
    </row>
    <row r="183" spans="1:7" x14ac:dyDescent="0.3">
      <c r="A183" s="3" t="s">
        <v>60</v>
      </c>
      <c r="B183" s="3" t="s">
        <v>78</v>
      </c>
      <c r="C183" s="3" t="s">
        <v>81</v>
      </c>
      <c r="D183" s="3" t="s">
        <v>151</v>
      </c>
      <c r="E183" s="2">
        <v>4141.4399999999996</v>
      </c>
      <c r="F183" s="1">
        <v>0.05</v>
      </c>
      <c r="G183" s="2">
        <f t="shared" si="5"/>
        <v>207.072</v>
      </c>
    </row>
    <row r="184" spans="1:7" x14ac:dyDescent="0.3">
      <c r="A184" s="3" t="s">
        <v>60</v>
      </c>
      <c r="B184" s="3" t="s">
        <v>78</v>
      </c>
      <c r="C184" s="3" t="s">
        <v>82</v>
      </c>
      <c r="D184" s="3" t="s">
        <v>151</v>
      </c>
      <c r="E184" s="2">
        <v>9165.65</v>
      </c>
      <c r="F184" s="1">
        <v>0.05</v>
      </c>
      <c r="G184" s="2">
        <f t="shared" si="5"/>
        <v>458.28250000000003</v>
      </c>
    </row>
    <row r="185" spans="1:7" x14ac:dyDescent="0.3">
      <c r="A185" s="3" t="s">
        <v>60</v>
      </c>
      <c r="B185" s="3" t="s">
        <v>78</v>
      </c>
      <c r="C185" s="3" t="s">
        <v>83</v>
      </c>
      <c r="D185" s="3" t="s">
        <v>151</v>
      </c>
      <c r="E185" s="2">
        <v>3073.6</v>
      </c>
      <c r="F185" s="1">
        <v>0.05</v>
      </c>
      <c r="G185" s="2">
        <f t="shared" si="5"/>
        <v>153.68</v>
      </c>
    </row>
    <row r="186" spans="1:7" x14ac:dyDescent="0.3">
      <c r="A186" s="3" t="s">
        <v>60</v>
      </c>
      <c r="B186" s="3" t="s">
        <v>78</v>
      </c>
      <c r="C186" s="3" t="s">
        <v>84</v>
      </c>
      <c r="D186" s="3" t="s">
        <v>151</v>
      </c>
      <c r="E186" s="2">
        <v>1116.7</v>
      </c>
      <c r="F186" s="1">
        <v>0.05</v>
      </c>
      <c r="G186" s="2">
        <f t="shared" si="5"/>
        <v>55.835000000000008</v>
      </c>
    </row>
    <row r="187" spans="1:7" x14ac:dyDescent="0.3">
      <c r="A187" s="3" t="s">
        <v>60</v>
      </c>
      <c r="B187" s="3" t="s">
        <v>78</v>
      </c>
      <c r="C187" s="3" t="s">
        <v>85</v>
      </c>
      <c r="D187" s="3" t="s">
        <v>151</v>
      </c>
      <c r="E187" s="2">
        <v>606.72</v>
      </c>
      <c r="F187" s="1">
        <v>0.05</v>
      </c>
      <c r="G187" s="2">
        <f t="shared" si="5"/>
        <v>30.336000000000002</v>
      </c>
    </row>
    <row r="188" spans="1:7" x14ac:dyDescent="0.3">
      <c r="A188" s="3" t="s">
        <v>60</v>
      </c>
      <c r="B188" s="3" t="s">
        <v>78</v>
      </c>
      <c r="C188" s="3" t="s">
        <v>86</v>
      </c>
      <c r="D188" s="3" t="s">
        <v>151</v>
      </c>
      <c r="E188" s="2">
        <v>6490.25</v>
      </c>
      <c r="F188" s="1">
        <v>0.05</v>
      </c>
      <c r="G188" s="2">
        <f t="shared" si="5"/>
        <v>324.51250000000005</v>
      </c>
    </row>
    <row r="189" spans="1:7" x14ac:dyDescent="0.3">
      <c r="A189" s="3" t="s">
        <v>60</v>
      </c>
      <c r="B189" s="3" t="s">
        <v>87</v>
      </c>
      <c r="C189" s="3" t="s">
        <v>88</v>
      </c>
      <c r="D189" s="3" t="s">
        <v>151</v>
      </c>
      <c r="E189" s="2">
        <v>636.79999999999995</v>
      </c>
      <c r="F189" s="1">
        <v>0.05</v>
      </c>
      <c r="G189" s="2">
        <f t="shared" si="5"/>
        <v>31.84</v>
      </c>
    </row>
    <row r="190" spans="1:7" x14ac:dyDescent="0.3">
      <c r="A190" s="3" t="s">
        <v>60</v>
      </c>
      <c r="B190" s="3" t="s">
        <v>87</v>
      </c>
      <c r="C190" s="3" t="s">
        <v>89</v>
      </c>
      <c r="D190" s="3" t="s">
        <v>151</v>
      </c>
      <c r="E190" s="2">
        <v>5264</v>
      </c>
      <c r="F190" s="1">
        <v>0.05</v>
      </c>
      <c r="G190" s="2">
        <f t="shared" si="5"/>
        <v>263.2</v>
      </c>
    </row>
    <row r="191" spans="1:7" x14ac:dyDescent="0.3">
      <c r="A191" s="3" t="s">
        <v>60</v>
      </c>
      <c r="B191" s="3" t="s">
        <v>87</v>
      </c>
      <c r="C191" s="3" t="s">
        <v>90</v>
      </c>
      <c r="D191" s="3" t="s">
        <v>151</v>
      </c>
      <c r="E191" s="2">
        <v>4232.32</v>
      </c>
      <c r="F191" s="1">
        <v>0.05</v>
      </c>
      <c r="G191" s="2">
        <f t="shared" si="5"/>
        <v>211.61599999999999</v>
      </c>
    </row>
    <row r="192" spans="1:7" x14ac:dyDescent="0.3">
      <c r="A192" s="3" t="s">
        <v>60</v>
      </c>
      <c r="B192" s="3" t="s">
        <v>87</v>
      </c>
      <c r="C192" s="3" t="s">
        <v>91</v>
      </c>
      <c r="D192" s="3" t="s">
        <v>151</v>
      </c>
      <c r="E192" s="2">
        <v>727.04</v>
      </c>
      <c r="F192" s="1">
        <v>0.05</v>
      </c>
      <c r="G192" s="2">
        <f t="shared" si="5"/>
        <v>36.351999999999997</v>
      </c>
    </row>
    <row r="193" spans="1:7" x14ac:dyDescent="0.3">
      <c r="A193" s="3" t="s">
        <v>60</v>
      </c>
      <c r="B193" s="3" t="s">
        <v>87</v>
      </c>
      <c r="C193" s="3" t="s">
        <v>92</v>
      </c>
      <c r="D193" s="3" t="s">
        <v>151</v>
      </c>
      <c r="E193" s="2">
        <v>5751.04</v>
      </c>
      <c r="F193" s="1">
        <v>0.05</v>
      </c>
      <c r="G193" s="2">
        <f t="shared" si="5"/>
        <v>287.55200000000002</v>
      </c>
    </row>
    <row r="194" spans="1:7" x14ac:dyDescent="0.3">
      <c r="A194" s="3" t="s">
        <v>60</v>
      </c>
      <c r="B194" s="3" t="s">
        <v>87</v>
      </c>
      <c r="C194" s="3" t="s">
        <v>93</v>
      </c>
      <c r="D194" s="3" t="s">
        <v>151</v>
      </c>
      <c r="E194" s="2">
        <v>0</v>
      </c>
      <c r="F194" s="1">
        <v>0.05</v>
      </c>
      <c r="G194" s="2">
        <f t="shared" ref="G194:G225" si="6">E194*F194</f>
        <v>0</v>
      </c>
    </row>
    <row r="195" spans="1:7" x14ac:dyDescent="0.3">
      <c r="A195" s="3" t="s">
        <v>60</v>
      </c>
      <c r="B195" s="3" t="s">
        <v>87</v>
      </c>
      <c r="C195" s="3" t="s">
        <v>94</v>
      </c>
      <c r="D195" s="3" t="s">
        <v>151</v>
      </c>
      <c r="E195" s="2">
        <v>856.32</v>
      </c>
      <c r="F195" s="1">
        <v>0.05</v>
      </c>
      <c r="G195" s="2">
        <f t="shared" si="6"/>
        <v>42.816000000000003</v>
      </c>
    </row>
    <row r="196" spans="1:7" x14ac:dyDescent="0.3">
      <c r="A196" s="3" t="s">
        <v>60</v>
      </c>
      <c r="B196" s="3" t="s">
        <v>87</v>
      </c>
      <c r="C196" s="3" t="s">
        <v>95</v>
      </c>
      <c r="D196" s="3" t="s">
        <v>151</v>
      </c>
      <c r="E196" s="2">
        <v>934.4</v>
      </c>
      <c r="F196" s="1">
        <v>0.05</v>
      </c>
      <c r="G196" s="2">
        <f t="shared" si="6"/>
        <v>46.72</v>
      </c>
    </row>
    <row r="197" spans="1:7" x14ac:dyDescent="0.3">
      <c r="A197" s="3" t="s">
        <v>60</v>
      </c>
      <c r="B197" s="3" t="s">
        <v>87</v>
      </c>
      <c r="C197" s="3" t="s">
        <v>96</v>
      </c>
      <c r="D197" s="3" t="s">
        <v>151</v>
      </c>
      <c r="E197" s="2">
        <v>5598.72</v>
      </c>
      <c r="F197" s="1">
        <v>0.05</v>
      </c>
      <c r="G197" s="2">
        <f t="shared" si="6"/>
        <v>279.93600000000004</v>
      </c>
    </row>
    <row r="198" spans="1:7" x14ac:dyDescent="0.3">
      <c r="A198" s="3" t="s">
        <v>60</v>
      </c>
      <c r="B198" s="3" t="s">
        <v>87</v>
      </c>
      <c r="C198" s="3" t="s">
        <v>97</v>
      </c>
      <c r="D198" s="3" t="s">
        <v>151</v>
      </c>
      <c r="E198" s="2">
        <v>4103.68</v>
      </c>
      <c r="F198" s="1">
        <v>0.05</v>
      </c>
      <c r="G198" s="2">
        <f t="shared" si="6"/>
        <v>205.18400000000003</v>
      </c>
    </row>
    <row r="199" spans="1:7" x14ac:dyDescent="0.3">
      <c r="A199" s="3" t="s">
        <v>60</v>
      </c>
      <c r="B199" s="3" t="s">
        <v>87</v>
      </c>
      <c r="C199" s="3" t="s">
        <v>98</v>
      </c>
      <c r="D199" s="3" t="s">
        <v>151</v>
      </c>
      <c r="E199" s="2">
        <v>7120.64</v>
      </c>
      <c r="F199" s="1">
        <v>0.05</v>
      </c>
      <c r="G199" s="2">
        <f t="shared" si="6"/>
        <v>356.03200000000004</v>
      </c>
    </row>
    <row r="200" spans="1:7" x14ac:dyDescent="0.3">
      <c r="A200" s="3" t="s">
        <v>99</v>
      </c>
      <c r="B200" s="3" t="s">
        <v>100</v>
      </c>
      <c r="C200" s="3" t="s">
        <v>101</v>
      </c>
      <c r="D200" s="3" t="s">
        <v>151</v>
      </c>
      <c r="E200" s="2">
        <v>4696.79</v>
      </c>
      <c r="F200" s="1">
        <v>0.1</v>
      </c>
      <c r="G200" s="2">
        <f t="shared" si="6"/>
        <v>469.67900000000003</v>
      </c>
    </row>
    <row r="201" spans="1:7" x14ac:dyDescent="0.3">
      <c r="A201" s="3" t="s">
        <v>99</v>
      </c>
      <c r="B201" s="3" t="s">
        <v>100</v>
      </c>
      <c r="C201" s="3" t="s">
        <v>102</v>
      </c>
      <c r="D201" s="3" t="s">
        <v>151</v>
      </c>
      <c r="E201" s="2">
        <v>250.92</v>
      </c>
      <c r="F201" s="1">
        <v>0.1</v>
      </c>
      <c r="G201" s="2">
        <f t="shared" si="6"/>
        <v>25.091999999999999</v>
      </c>
    </row>
    <row r="202" spans="1:7" x14ac:dyDescent="0.3">
      <c r="A202" s="3" t="s">
        <v>99</v>
      </c>
      <c r="B202" s="3" t="s">
        <v>100</v>
      </c>
      <c r="C202" s="3" t="s">
        <v>103</v>
      </c>
      <c r="D202" s="3" t="s">
        <v>151</v>
      </c>
      <c r="E202" s="2">
        <v>2305.63</v>
      </c>
      <c r="F202" s="1">
        <v>0.1</v>
      </c>
      <c r="G202" s="2">
        <f t="shared" si="6"/>
        <v>230.56300000000002</v>
      </c>
    </row>
    <row r="203" spans="1:7" x14ac:dyDescent="0.3">
      <c r="A203" s="3" t="s">
        <v>99</v>
      </c>
      <c r="B203" s="3" t="s">
        <v>100</v>
      </c>
      <c r="C203" s="3" t="s">
        <v>104</v>
      </c>
      <c r="D203" s="3" t="s">
        <v>151</v>
      </c>
      <c r="E203" s="2">
        <v>349.38</v>
      </c>
      <c r="F203" s="1">
        <v>0.1</v>
      </c>
      <c r="G203" s="2">
        <f t="shared" si="6"/>
        <v>34.938000000000002</v>
      </c>
    </row>
    <row r="204" spans="1:7" x14ac:dyDescent="0.3">
      <c r="A204" s="3" t="s">
        <v>99</v>
      </c>
      <c r="B204" s="3" t="s">
        <v>100</v>
      </c>
      <c r="C204" s="3" t="s">
        <v>105</v>
      </c>
      <c r="D204" s="3" t="s">
        <v>151</v>
      </c>
      <c r="E204" s="2">
        <v>2183.7600000000002</v>
      </c>
      <c r="F204" s="1">
        <v>0.1</v>
      </c>
      <c r="G204" s="2">
        <f t="shared" si="6"/>
        <v>218.37600000000003</v>
      </c>
    </row>
    <row r="205" spans="1:7" x14ac:dyDescent="0.3">
      <c r="A205" s="3" t="s">
        <v>99</v>
      </c>
      <c r="B205" s="3" t="s">
        <v>100</v>
      </c>
      <c r="C205" s="3" t="s">
        <v>106</v>
      </c>
      <c r="D205" s="3" t="s">
        <v>151</v>
      </c>
      <c r="E205" s="2">
        <v>348.84</v>
      </c>
      <c r="F205" s="1">
        <v>0.1</v>
      </c>
      <c r="G205" s="2">
        <f t="shared" si="6"/>
        <v>34.884</v>
      </c>
    </row>
    <row r="206" spans="1:7" x14ac:dyDescent="0.3">
      <c r="A206" s="3" t="s">
        <v>99</v>
      </c>
      <c r="B206" s="3" t="s">
        <v>100</v>
      </c>
      <c r="C206" s="3" t="s">
        <v>107</v>
      </c>
      <c r="D206" s="3" t="s">
        <v>151</v>
      </c>
      <c r="E206" s="2">
        <v>0</v>
      </c>
      <c r="F206" s="1">
        <v>0.1</v>
      </c>
      <c r="G206" s="2">
        <f t="shared" si="6"/>
        <v>0</v>
      </c>
    </row>
    <row r="207" spans="1:7" x14ac:dyDescent="0.3">
      <c r="A207" s="3" t="s">
        <v>99</v>
      </c>
      <c r="B207" s="3" t="s">
        <v>100</v>
      </c>
      <c r="C207" s="3" t="s">
        <v>108</v>
      </c>
      <c r="D207" s="3" t="s">
        <v>151</v>
      </c>
      <c r="E207" s="2">
        <v>0</v>
      </c>
      <c r="F207" s="1">
        <v>0.1</v>
      </c>
      <c r="G207" s="2">
        <f t="shared" si="6"/>
        <v>0</v>
      </c>
    </row>
    <row r="208" spans="1:7" x14ac:dyDescent="0.3">
      <c r="A208" s="3" t="s">
        <v>99</v>
      </c>
      <c r="B208" s="3" t="s">
        <v>100</v>
      </c>
      <c r="C208" s="3" t="s">
        <v>109</v>
      </c>
      <c r="D208" s="3" t="s">
        <v>151</v>
      </c>
      <c r="E208" s="2">
        <v>1008.18</v>
      </c>
      <c r="F208" s="1">
        <v>0.1</v>
      </c>
      <c r="G208" s="2">
        <f t="shared" si="6"/>
        <v>100.818</v>
      </c>
    </row>
    <row r="209" spans="1:7" x14ac:dyDescent="0.3">
      <c r="A209" s="3" t="s">
        <v>99</v>
      </c>
      <c r="B209" s="3" t="s">
        <v>100</v>
      </c>
      <c r="C209" s="3" t="s">
        <v>110</v>
      </c>
      <c r="D209" s="3" t="s">
        <v>151</v>
      </c>
      <c r="E209" s="2">
        <v>753.3</v>
      </c>
      <c r="F209" s="1">
        <v>0.1</v>
      </c>
      <c r="G209" s="2">
        <f t="shared" si="6"/>
        <v>75.33</v>
      </c>
    </row>
    <row r="210" spans="1:7" x14ac:dyDescent="0.3">
      <c r="A210" s="3" t="s">
        <v>99</v>
      </c>
      <c r="B210" s="3" t="s">
        <v>100</v>
      </c>
      <c r="C210" s="3" t="s">
        <v>111</v>
      </c>
      <c r="D210" s="3" t="s">
        <v>151</v>
      </c>
      <c r="E210" s="2">
        <v>0</v>
      </c>
      <c r="F210" s="1">
        <v>0.1</v>
      </c>
      <c r="G210" s="2">
        <f t="shared" si="6"/>
        <v>0</v>
      </c>
    </row>
    <row r="211" spans="1:7" x14ac:dyDescent="0.3">
      <c r="A211" s="3" t="s">
        <v>99</v>
      </c>
      <c r="B211" s="3" t="s">
        <v>100</v>
      </c>
      <c r="C211" s="4" t="s">
        <v>112</v>
      </c>
      <c r="D211" s="3" t="s">
        <v>151</v>
      </c>
      <c r="E211" s="2">
        <v>0</v>
      </c>
      <c r="F211" s="1">
        <v>0.1</v>
      </c>
      <c r="G211" s="2">
        <f t="shared" si="6"/>
        <v>0</v>
      </c>
    </row>
    <row r="212" spans="1:7" x14ac:dyDescent="0.3">
      <c r="A212" s="3" t="s">
        <v>99</v>
      </c>
      <c r="B212" s="3" t="s">
        <v>100</v>
      </c>
      <c r="C212" s="3" t="s">
        <v>113</v>
      </c>
      <c r="D212" s="3" t="s">
        <v>151</v>
      </c>
      <c r="E212" s="2">
        <v>4191.4799999999996</v>
      </c>
      <c r="F212" s="1">
        <v>0.1</v>
      </c>
      <c r="G212" s="2">
        <f t="shared" si="6"/>
        <v>419.14799999999997</v>
      </c>
    </row>
    <row r="213" spans="1:7" x14ac:dyDescent="0.3">
      <c r="A213" s="3" t="s">
        <v>99</v>
      </c>
      <c r="B213" s="3" t="s">
        <v>100</v>
      </c>
      <c r="C213" s="3" t="s">
        <v>114</v>
      </c>
      <c r="D213" s="3" t="s">
        <v>151</v>
      </c>
      <c r="E213" s="2">
        <v>0</v>
      </c>
      <c r="F213" s="1">
        <v>0.1</v>
      </c>
      <c r="G213" s="2">
        <f t="shared" si="6"/>
        <v>0</v>
      </c>
    </row>
    <row r="214" spans="1:7" x14ac:dyDescent="0.3">
      <c r="A214" s="3" t="s">
        <v>99</v>
      </c>
      <c r="B214" s="3" t="s">
        <v>100</v>
      </c>
      <c r="C214" s="3" t="s">
        <v>115</v>
      </c>
      <c r="D214" s="3" t="s">
        <v>151</v>
      </c>
      <c r="E214" s="2">
        <v>1318.02</v>
      </c>
      <c r="F214" s="1">
        <v>0.1</v>
      </c>
      <c r="G214" s="2">
        <f t="shared" si="6"/>
        <v>131.80199999999999</v>
      </c>
    </row>
    <row r="215" spans="1:7" x14ac:dyDescent="0.3">
      <c r="A215" s="3" t="s">
        <v>99</v>
      </c>
      <c r="B215" s="3" t="s">
        <v>100</v>
      </c>
      <c r="C215" s="3" t="s">
        <v>116</v>
      </c>
      <c r="D215" s="3" t="s">
        <v>151</v>
      </c>
      <c r="E215" s="2">
        <v>547.14</v>
      </c>
      <c r="F215" s="1">
        <v>0.1</v>
      </c>
      <c r="G215" s="2">
        <f t="shared" si="6"/>
        <v>54.713999999999999</v>
      </c>
    </row>
    <row r="216" spans="1:7" x14ac:dyDescent="0.3">
      <c r="A216" s="3" t="s">
        <v>99</v>
      </c>
      <c r="B216" s="3" t="s">
        <v>100</v>
      </c>
      <c r="C216" s="3" t="s">
        <v>117</v>
      </c>
      <c r="D216" s="3" t="s">
        <v>151</v>
      </c>
      <c r="E216" s="2">
        <v>5358.42</v>
      </c>
      <c r="F216" s="1">
        <v>0.1</v>
      </c>
      <c r="G216" s="2">
        <f t="shared" si="6"/>
        <v>535.84199999999998</v>
      </c>
    </row>
    <row r="217" spans="1:7" x14ac:dyDescent="0.3">
      <c r="A217" s="3" t="s">
        <v>99</v>
      </c>
      <c r="B217" s="3" t="s">
        <v>100</v>
      </c>
      <c r="C217" s="3" t="s">
        <v>118</v>
      </c>
      <c r="D217" s="3" t="s">
        <v>151</v>
      </c>
      <c r="E217" s="2">
        <v>13760.54</v>
      </c>
      <c r="F217" s="1">
        <v>0.1</v>
      </c>
      <c r="G217" s="2">
        <f t="shared" si="6"/>
        <v>1376.0540000000001</v>
      </c>
    </row>
    <row r="218" spans="1:7" x14ac:dyDescent="0.3">
      <c r="A218" s="3" t="s">
        <v>99</v>
      </c>
      <c r="B218" s="3" t="s">
        <v>100</v>
      </c>
      <c r="C218" s="3" t="s">
        <v>119</v>
      </c>
      <c r="D218" s="3" t="s">
        <v>151</v>
      </c>
      <c r="E218" s="2">
        <v>359.04</v>
      </c>
      <c r="F218" s="1">
        <v>0.1</v>
      </c>
      <c r="G218" s="2">
        <f t="shared" si="6"/>
        <v>35.904000000000003</v>
      </c>
    </row>
    <row r="219" spans="1:7" x14ac:dyDescent="0.3">
      <c r="A219" s="3" t="s">
        <v>99</v>
      </c>
      <c r="B219" s="3" t="s">
        <v>100</v>
      </c>
      <c r="C219" s="3" t="s">
        <v>120</v>
      </c>
      <c r="D219" s="3" t="s">
        <v>151</v>
      </c>
      <c r="E219" s="2">
        <v>8692.35</v>
      </c>
      <c r="F219" s="1">
        <v>0.1</v>
      </c>
      <c r="G219" s="2">
        <f t="shared" si="6"/>
        <v>869.23500000000013</v>
      </c>
    </row>
    <row r="220" spans="1:7" x14ac:dyDescent="0.3">
      <c r="A220" s="3" t="s">
        <v>99</v>
      </c>
      <c r="B220" s="3" t="s">
        <v>100</v>
      </c>
      <c r="C220" s="3" t="s">
        <v>121</v>
      </c>
      <c r="D220" s="3" t="s">
        <v>151</v>
      </c>
      <c r="E220" s="2">
        <v>1257.0999999999999</v>
      </c>
      <c r="F220" s="1">
        <v>0.1</v>
      </c>
      <c r="G220" s="2">
        <f t="shared" si="6"/>
        <v>125.71</v>
      </c>
    </row>
    <row r="221" spans="1:7" x14ac:dyDescent="0.3">
      <c r="A221" s="3" t="s">
        <v>99</v>
      </c>
      <c r="B221" s="3" t="s">
        <v>100</v>
      </c>
      <c r="C221" s="3" t="s">
        <v>122</v>
      </c>
      <c r="D221" s="3" t="s">
        <v>151</v>
      </c>
      <c r="E221" s="2">
        <v>5552</v>
      </c>
      <c r="F221" s="1">
        <v>0.1</v>
      </c>
      <c r="G221" s="2">
        <f t="shared" si="6"/>
        <v>555.20000000000005</v>
      </c>
    </row>
    <row r="222" spans="1:7" x14ac:dyDescent="0.3">
      <c r="A222" s="3" t="s">
        <v>99</v>
      </c>
      <c r="B222" s="3" t="s">
        <v>100</v>
      </c>
      <c r="C222" s="3" t="s">
        <v>123</v>
      </c>
      <c r="D222" s="3" t="s">
        <v>151</v>
      </c>
      <c r="E222" s="2">
        <v>2752.64</v>
      </c>
      <c r="F222" s="1">
        <v>0.1</v>
      </c>
      <c r="G222" s="2">
        <f t="shared" si="6"/>
        <v>275.26400000000001</v>
      </c>
    </row>
    <row r="223" spans="1:7" x14ac:dyDescent="0.3">
      <c r="A223" s="3" t="s">
        <v>99</v>
      </c>
      <c r="B223" s="3" t="s">
        <v>100</v>
      </c>
      <c r="C223" s="3" t="s">
        <v>124</v>
      </c>
      <c r="D223" s="3" t="s">
        <v>151</v>
      </c>
      <c r="E223" s="2">
        <v>4079.61</v>
      </c>
      <c r="F223" s="1">
        <v>0.1</v>
      </c>
      <c r="G223" s="2">
        <f t="shared" si="6"/>
        <v>407.96100000000001</v>
      </c>
    </row>
    <row r="224" spans="1:7" x14ac:dyDescent="0.3">
      <c r="A224" s="3" t="s">
        <v>99</v>
      </c>
      <c r="B224" s="3" t="s">
        <v>100</v>
      </c>
      <c r="C224" s="3" t="s">
        <v>125</v>
      </c>
      <c r="D224" s="3" t="s">
        <v>151</v>
      </c>
      <c r="E224" s="2">
        <v>2874.88</v>
      </c>
      <c r="F224" s="1">
        <v>0.1</v>
      </c>
      <c r="G224" s="2">
        <f t="shared" si="6"/>
        <v>287.488</v>
      </c>
    </row>
    <row r="225" spans="1:7" x14ac:dyDescent="0.3">
      <c r="A225" s="3" t="s">
        <v>99</v>
      </c>
      <c r="B225" s="3" t="s">
        <v>100</v>
      </c>
      <c r="C225" s="3" t="s">
        <v>126</v>
      </c>
      <c r="D225" s="3" t="s">
        <v>151</v>
      </c>
      <c r="E225" s="2">
        <v>199.68</v>
      </c>
      <c r="F225" s="1">
        <v>0.1</v>
      </c>
      <c r="G225" s="2">
        <f t="shared" si="6"/>
        <v>19.968000000000004</v>
      </c>
    </row>
    <row r="226" spans="1:7" x14ac:dyDescent="0.3">
      <c r="A226" s="3" t="s">
        <v>99</v>
      </c>
      <c r="B226" s="3" t="s">
        <v>100</v>
      </c>
      <c r="C226" s="3" t="s">
        <v>127</v>
      </c>
      <c r="D226" s="3" t="s">
        <v>151</v>
      </c>
      <c r="E226" s="2">
        <v>3939.3</v>
      </c>
      <c r="F226" s="1">
        <v>0.1</v>
      </c>
      <c r="G226" s="2">
        <f t="shared" ref="G226:G246" si="7">E226*F226</f>
        <v>393.93000000000006</v>
      </c>
    </row>
    <row r="227" spans="1:7" x14ac:dyDescent="0.3">
      <c r="A227" s="3" t="s">
        <v>99</v>
      </c>
      <c r="B227" s="3" t="s">
        <v>100</v>
      </c>
      <c r="C227" s="3" t="s">
        <v>128</v>
      </c>
      <c r="D227" s="3" t="s">
        <v>151</v>
      </c>
      <c r="E227" s="2">
        <v>3676.86</v>
      </c>
      <c r="F227" s="1">
        <v>0.1</v>
      </c>
      <c r="G227" s="2">
        <f t="shared" si="7"/>
        <v>367.68600000000004</v>
      </c>
    </row>
    <row r="228" spans="1:7" x14ac:dyDescent="0.3">
      <c r="A228" s="3" t="s">
        <v>129</v>
      </c>
      <c r="B228" s="3" t="s">
        <v>130</v>
      </c>
      <c r="C228" s="3" t="s">
        <v>131</v>
      </c>
      <c r="D228" s="3" t="s">
        <v>151</v>
      </c>
      <c r="E228" s="2">
        <v>1674.16</v>
      </c>
      <c r="F228" s="1">
        <v>0.1</v>
      </c>
      <c r="G228" s="2">
        <f t="shared" si="7"/>
        <v>167.41600000000003</v>
      </c>
    </row>
    <row r="229" spans="1:7" x14ac:dyDescent="0.3">
      <c r="A229" s="3" t="s">
        <v>129</v>
      </c>
      <c r="B229" s="3" t="s">
        <v>130</v>
      </c>
      <c r="C229" s="3" t="s">
        <v>132</v>
      </c>
      <c r="D229" s="3" t="s">
        <v>151</v>
      </c>
      <c r="E229" s="2">
        <v>4469.04</v>
      </c>
      <c r="F229" s="1">
        <v>0.1</v>
      </c>
      <c r="G229" s="2">
        <f t="shared" si="7"/>
        <v>446.904</v>
      </c>
    </row>
    <row r="230" spans="1:7" x14ac:dyDescent="0.3">
      <c r="A230" s="3" t="s">
        <v>129</v>
      </c>
      <c r="B230" s="3" t="s">
        <v>130</v>
      </c>
      <c r="C230" s="3" t="s">
        <v>133</v>
      </c>
      <c r="D230" s="3" t="s">
        <v>151</v>
      </c>
      <c r="E230" s="2">
        <v>212.52</v>
      </c>
      <c r="F230" s="1">
        <v>0.1</v>
      </c>
      <c r="G230" s="2">
        <f t="shared" si="7"/>
        <v>21.252000000000002</v>
      </c>
    </row>
    <row r="231" spans="1:7" x14ac:dyDescent="0.3">
      <c r="A231" s="3" t="s">
        <v>129</v>
      </c>
      <c r="B231" s="3" t="s">
        <v>130</v>
      </c>
      <c r="C231" s="3" t="s">
        <v>134</v>
      </c>
      <c r="D231" s="3" t="s">
        <v>151</v>
      </c>
      <c r="E231" s="2">
        <v>1724.76</v>
      </c>
      <c r="F231" s="1">
        <v>0.1</v>
      </c>
      <c r="G231" s="2">
        <f t="shared" si="7"/>
        <v>172.476</v>
      </c>
    </row>
    <row r="232" spans="1:7" x14ac:dyDescent="0.3">
      <c r="A232" s="3" t="s">
        <v>129</v>
      </c>
      <c r="B232" s="3" t="s">
        <v>130</v>
      </c>
      <c r="C232" s="3" t="s">
        <v>135</v>
      </c>
      <c r="D232" s="3" t="s">
        <v>151</v>
      </c>
      <c r="E232" s="2">
        <v>2077.38</v>
      </c>
      <c r="F232" s="1">
        <v>0.1</v>
      </c>
      <c r="G232" s="2">
        <f t="shared" si="7"/>
        <v>207.73800000000003</v>
      </c>
    </row>
    <row r="233" spans="1:7" x14ac:dyDescent="0.3">
      <c r="A233" s="3" t="s">
        <v>129</v>
      </c>
      <c r="B233" s="3" t="s">
        <v>130</v>
      </c>
      <c r="C233" s="3" t="s">
        <v>136</v>
      </c>
      <c r="D233" s="3" t="s">
        <v>151</v>
      </c>
      <c r="E233" s="2">
        <v>3666.56</v>
      </c>
      <c r="F233" s="1">
        <v>0.1</v>
      </c>
      <c r="G233" s="2">
        <f t="shared" si="7"/>
        <v>366.65600000000001</v>
      </c>
    </row>
    <row r="234" spans="1:7" x14ac:dyDescent="0.3">
      <c r="A234" s="3" t="s">
        <v>129</v>
      </c>
      <c r="B234" s="3" t="s">
        <v>130</v>
      </c>
      <c r="C234" s="3" t="s">
        <v>137</v>
      </c>
      <c r="D234" s="3" t="s">
        <v>151</v>
      </c>
      <c r="E234" s="2">
        <v>0</v>
      </c>
      <c r="F234" s="1">
        <v>0.1</v>
      </c>
      <c r="G234" s="2">
        <f t="shared" si="7"/>
        <v>0</v>
      </c>
    </row>
    <row r="235" spans="1:7" x14ac:dyDescent="0.3">
      <c r="A235" s="3" t="s">
        <v>129</v>
      </c>
      <c r="B235" s="3" t="s">
        <v>130</v>
      </c>
      <c r="C235" s="3" t="s">
        <v>138</v>
      </c>
      <c r="D235" s="3" t="s">
        <v>151</v>
      </c>
      <c r="E235" s="2">
        <v>169.04</v>
      </c>
      <c r="F235" s="1">
        <v>0.1</v>
      </c>
      <c r="G235" s="2">
        <f t="shared" si="7"/>
        <v>16.904</v>
      </c>
    </row>
    <row r="236" spans="1:7" x14ac:dyDescent="0.3">
      <c r="A236" s="3" t="s">
        <v>129</v>
      </c>
      <c r="B236" s="3" t="s">
        <v>130</v>
      </c>
      <c r="C236" s="3" t="s">
        <v>139</v>
      </c>
      <c r="D236" s="3" t="s">
        <v>151</v>
      </c>
      <c r="E236" s="2">
        <v>3659.58</v>
      </c>
      <c r="F236" s="1">
        <v>0.1</v>
      </c>
      <c r="G236" s="2">
        <f t="shared" si="7"/>
        <v>365.95800000000003</v>
      </c>
    </row>
    <row r="237" spans="1:7" x14ac:dyDescent="0.3">
      <c r="A237" s="3" t="s">
        <v>129</v>
      </c>
      <c r="B237" s="3" t="s">
        <v>130</v>
      </c>
      <c r="C237" s="3" t="s">
        <v>140</v>
      </c>
      <c r="D237" s="3" t="s">
        <v>151</v>
      </c>
      <c r="E237" s="2">
        <v>6730.75</v>
      </c>
      <c r="F237" s="1">
        <v>0.1</v>
      </c>
      <c r="G237" s="2">
        <f t="shared" si="7"/>
        <v>673.07500000000005</v>
      </c>
    </row>
    <row r="238" spans="1:7" x14ac:dyDescent="0.3">
      <c r="A238" s="3" t="s">
        <v>141</v>
      </c>
      <c r="B238" s="3" t="s">
        <v>142</v>
      </c>
      <c r="C238" s="3" t="s">
        <v>143</v>
      </c>
      <c r="D238" s="3" t="s">
        <v>151</v>
      </c>
      <c r="E238" s="2">
        <v>2997.06</v>
      </c>
      <c r="F238" s="1">
        <v>0.1</v>
      </c>
      <c r="G238" s="2">
        <f t="shared" si="7"/>
        <v>299.70600000000002</v>
      </c>
    </row>
    <row r="239" spans="1:7" x14ac:dyDescent="0.3">
      <c r="A239" s="3" t="s">
        <v>141</v>
      </c>
      <c r="B239" s="3" t="s">
        <v>142</v>
      </c>
      <c r="C239" s="3" t="s">
        <v>144</v>
      </c>
      <c r="D239" s="3" t="s">
        <v>151</v>
      </c>
      <c r="E239" s="2">
        <v>6286.08</v>
      </c>
      <c r="F239" s="1">
        <v>0.1</v>
      </c>
      <c r="G239" s="2">
        <f t="shared" si="7"/>
        <v>628.60800000000006</v>
      </c>
    </row>
    <row r="240" spans="1:7" x14ac:dyDescent="0.3">
      <c r="A240" s="3" t="s">
        <v>141</v>
      </c>
      <c r="B240" s="3" t="s">
        <v>142</v>
      </c>
      <c r="C240" s="3" t="s">
        <v>145</v>
      </c>
      <c r="D240" s="3" t="s">
        <v>151</v>
      </c>
      <c r="E240" s="2">
        <v>2812.8</v>
      </c>
      <c r="F240" s="1">
        <v>0.1</v>
      </c>
      <c r="G240" s="2">
        <f t="shared" si="7"/>
        <v>281.28000000000003</v>
      </c>
    </row>
    <row r="241" spans="1:7" x14ac:dyDescent="0.3">
      <c r="A241" s="3" t="s">
        <v>141</v>
      </c>
      <c r="B241" s="3" t="s">
        <v>142</v>
      </c>
      <c r="C241" s="3" t="s">
        <v>146</v>
      </c>
      <c r="D241" s="3" t="s">
        <v>151</v>
      </c>
      <c r="E241" s="2">
        <v>8613.02</v>
      </c>
      <c r="F241" s="1">
        <v>0.1</v>
      </c>
      <c r="G241" s="2">
        <f t="shared" si="7"/>
        <v>861.30200000000013</v>
      </c>
    </row>
    <row r="242" spans="1:7" x14ac:dyDescent="0.3">
      <c r="A242" s="3" t="s">
        <v>141</v>
      </c>
      <c r="B242" s="3" t="s">
        <v>142</v>
      </c>
      <c r="C242" s="3" t="s">
        <v>147</v>
      </c>
      <c r="D242" s="3" t="s">
        <v>151</v>
      </c>
      <c r="E242" s="2">
        <v>3396.6</v>
      </c>
      <c r="F242" s="1">
        <v>0.1</v>
      </c>
      <c r="G242" s="2">
        <f t="shared" si="7"/>
        <v>339.66</v>
      </c>
    </row>
    <row r="243" spans="1:7" x14ac:dyDescent="0.3">
      <c r="A243" s="3" t="s">
        <v>155</v>
      </c>
      <c r="B243" s="3" t="s">
        <v>155</v>
      </c>
      <c r="C243" s="3" t="s">
        <v>157</v>
      </c>
      <c r="D243" s="3" t="s">
        <v>151</v>
      </c>
      <c r="E243" s="2">
        <v>1936.44</v>
      </c>
      <c r="F243" s="1">
        <v>0.1</v>
      </c>
      <c r="G243" s="2">
        <f t="shared" si="7"/>
        <v>193.64400000000001</v>
      </c>
    </row>
    <row r="244" spans="1:7" x14ac:dyDescent="0.3">
      <c r="A244" s="3" t="s">
        <v>156</v>
      </c>
      <c r="B244" s="3" t="s">
        <v>156</v>
      </c>
      <c r="C244" s="3" t="s">
        <v>158</v>
      </c>
      <c r="D244" s="3" t="s">
        <v>151</v>
      </c>
      <c r="E244" s="2">
        <v>0</v>
      </c>
      <c r="F244" s="1">
        <v>0.1</v>
      </c>
      <c r="G244" s="2">
        <f t="shared" si="7"/>
        <v>0</v>
      </c>
    </row>
    <row r="245" spans="1:7" x14ac:dyDescent="0.3">
      <c r="A245" s="3" t="s">
        <v>156</v>
      </c>
      <c r="B245" s="3" t="s">
        <v>156</v>
      </c>
      <c r="C245" s="3" t="s">
        <v>159</v>
      </c>
      <c r="D245" s="3" t="s">
        <v>151</v>
      </c>
      <c r="E245" s="2">
        <v>0</v>
      </c>
      <c r="F245" s="1">
        <v>0.1</v>
      </c>
      <c r="G245" s="2">
        <f t="shared" si="7"/>
        <v>0</v>
      </c>
    </row>
    <row r="246" spans="1:7" x14ac:dyDescent="0.3">
      <c r="A246" s="3" t="s">
        <v>156</v>
      </c>
      <c r="B246" s="3" t="s">
        <v>156</v>
      </c>
      <c r="C246" s="3" t="s">
        <v>160</v>
      </c>
      <c r="D246" s="3" t="s">
        <v>151</v>
      </c>
      <c r="E246" s="2">
        <v>3802.64</v>
      </c>
      <c r="F246" s="1">
        <v>0.1</v>
      </c>
      <c r="G246" s="2">
        <f t="shared" si="7"/>
        <v>380.26400000000001</v>
      </c>
    </row>
  </sheetData>
  <autoFilter ref="A1:G246" xr:uid="{00000000-0001-0000-0000-000000000000}"/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H20"/>
  <sheetViews>
    <sheetView workbookViewId="0">
      <selection activeCell="B27" sqref="B27"/>
    </sheetView>
  </sheetViews>
  <sheetFormatPr defaultRowHeight="14.4" x14ac:dyDescent="0.3"/>
  <cols>
    <col min="1" max="1" width="19.33203125" style="10" bestFit="1" customWidth="1"/>
    <col min="2" max="2" width="22.109375" style="10" bestFit="1" customWidth="1"/>
    <col min="3" max="3" width="25.5546875" style="10" bestFit="1" customWidth="1"/>
    <col min="4" max="4" width="20.44140625" style="10" bestFit="1" customWidth="1"/>
    <col min="5" max="5" width="28.44140625" style="10" bestFit="1" customWidth="1"/>
    <col min="6" max="6" width="18.77734375" style="10" bestFit="1" customWidth="1"/>
    <col min="7" max="7" width="16.88671875" style="10" bestFit="1" customWidth="1"/>
    <col min="8" max="8" width="15.44140625" style="10" bestFit="1" customWidth="1"/>
  </cols>
  <sheetData>
    <row r="1" spans="1:8" x14ac:dyDescent="0.3">
      <c r="A1" s="12" t="s">
        <v>165</v>
      </c>
      <c r="B1" s="12" t="s">
        <v>166</v>
      </c>
      <c r="C1" s="12" t="s">
        <v>167</v>
      </c>
      <c r="D1" s="12" t="s">
        <v>168</v>
      </c>
      <c r="E1" s="12" t="s">
        <v>169</v>
      </c>
      <c r="F1" s="12" t="s">
        <v>170</v>
      </c>
      <c r="G1" s="12" t="s">
        <v>171</v>
      </c>
      <c r="H1" s="12" t="s">
        <v>172</v>
      </c>
    </row>
    <row r="2" spans="1:8" x14ac:dyDescent="0.3">
      <c r="A2" s="10" t="s">
        <v>173</v>
      </c>
      <c r="B2" s="10" t="s">
        <v>174</v>
      </c>
      <c r="C2" s="10" t="s">
        <v>175</v>
      </c>
      <c r="D2" s="10" t="s">
        <v>151</v>
      </c>
      <c r="E2" s="11">
        <v>625.29999999999995</v>
      </c>
      <c r="F2" s="11">
        <v>62.53</v>
      </c>
      <c r="G2" s="11">
        <v>70.849999999999994</v>
      </c>
      <c r="H2" s="11">
        <v>491.92</v>
      </c>
    </row>
    <row r="3" spans="1:8" x14ac:dyDescent="0.3">
      <c r="A3" s="10" t="s">
        <v>173</v>
      </c>
      <c r="B3" s="10" t="s">
        <v>176</v>
      </c>
      <c r="C3" s="10" t="s">
        <v>10</v>
      </c>
      <c r="D3" s="10" t="s">
        <v>151</v>
      </c>
      <c r="E3" s="11">
        <v>4282.24</v>
      </c>
      <c r="F3" s="11">
        <v>428.22</v>
      </c>
      <c r="G3" s="11">
        <v>485.18</v>
      </c>
      <c r="H3" s="11">
        <v>3368.84</v>
      </c>
    </row>
    <row r="4" spans="1:8" x14ac:dyDescent="0.3">
      <c r="A4" s="10" t="s">
        <v>173</v>
      </c>
      <c r="B4" s="10" t="s">
        <v>177</v>
      </c>
      <c r="C4" s="10" t="s">
        <v>13</v>
      </c>
      <c r="D4" s="10" t="s">
        <v>151</v>
      </c>
      <c r="E4" s="11">
        <v>170.24</v>
      </c>
      <c r="F4" s="11">
        <v>17.02</v>
      </c>
      <c r="G4" s="11">
        <v>19.29</v>
      </c>
      <c r="H4" s="11">
        <v>133.93</v>
      </c>
    </row>
    <row r="5" spans="1:8" x14ac:dyDescent="0.3">
      <c r="A5" s="10" t="s">
        <v>173</v>
      </c>
      <c r="B5" s="10" t="s">
        <v>177</v>
      </c>
      <c r="C5" s="10" t="s">
        <v>178</v>
      </c>
      <c r="D5" s="10" t="s">
        <v>151</v>
      </c>
      <c r="E5" s="11">
        <v>4209.28</v>
      </c>
      <c r="F5" s="11">
        <v>420.93</v>
      </c>
      <c r="G5" s="11">
        <v>476.91</v>
      </c>
      <c r="H5" s="11">
        <v>3311.44</v>
      </c>
    </row>
    <row r="6" spans="1:8" x14ac:dyDescent="0.3">
      <c r="A6" s="10" t="s">
        <v>173</v>
      </c>
      <c r="B6" s="10" t="s">
        <v>177</v>
      </c>
      <c r="C6" s="10" t="s">
        <v>179</v>
      </c>
      <c r="D6" s="10" t="s">
        <v>151</v>
      </c>
      <c r="E6" s="11">
        <v>16.899999999999999</v>
      </c>
      <c r="F6" s="11">
        <v>1.69</v>
      </c>
      <c r="G6" s="11">
        <v>1.91</v>
      </c>
      <c r="H6" s="11">
        <v>13.3</v>
      </c>
    </row>
    <row r="7" spans="1:8" x14ac:dyDescent="0.3">
      <c r="A7" s="10" t="s">
        <v>173</v>
      </c>
      <c r="B7" s="10" t="s">
        <v>180</v>
      </c>
      <c r="C7" s="10" t="s">
        <v>15</v>
      </c>
      <c r="D7" s="10" t="s">
        <v>151</v>
      </c>
      <c r="E7" s="11">
        <v>103.9</v>
      </c>
      <c r="F7" s="11">
        <v>10.39</v>
      </c>
      <c r="G7" s="11">
        <v>11.77</v>
      </c>
      <c r="H7" s="11">
        <v>81.739999999999995</v>
      </c>
    </row>
    <row r="8" spans="1:8" x14ac:dyDescent="0.3">
      <c r="A8" s="10" t="s">
        <v>173</v>
      </c>
      <c r="B8" s="10" t="s">
        <v>180</v>
      </c>
      <c r="C8" s="10" t="s">
        <v>12</v>
      </c>
      <c r="D8" s="10" t="s">
        <v>151</v>
      </c>
      <c r="E8" s="11">
        <v>2209.35</v>
      </c>
      <c r="F8" s="11">
        <v>220.94</v>
      </c>
      <c r="G8" s="11">
        <v>250.32</v>
      </c>
      <c r="H8" s="11">
        <v>1738.1</v>
      </c>
    </row>
    <row r="9" spans="1:8" x14ac:dyDescent="0.3">
      <c r="A9" s="10" t="s">
        <v>173</v>
      </c>
      <c r="B9" s="10" t="s">
        <v>180</v>
      </c>
      <c r="C9" s="10" t="s">
        <v>181</v>
      </c>
      <c r="D9" s="10" t="s">
        <v>151</v>
      </c>
      <c r="E9" s="11">
        <v>216.45</v>
      </c>
      <c r="F9" s="11">
        <v>21.65</v>
      </c>
      <c r="G9" s="11">
        <v>24.52</v>
      </c>
      <c r="H9" s="11">
        <v>170.28</v>
      </c>
    </row>
    <row r="10" spans="1:8" x14ac:dyDescent="0.3">
      <c r="A10" s="10" t="s">
        <v>173</v>
      </c>
      <c r="B10" s="10" t="s">
        <v>180</v>
      </c>
      <c r="C10" s="10" t="s">
        <v>21</v>
      </c>
      <c r="D10" s="10" t="s">
        <v>151</v>
      </c>
      <c r="E10" s="11">
        <v>182.4</v>
      </c>
      <c r="F10" s="11">
        <v>18.239999999999998</v>
      </c>
      <c r="G10" s="11">
        <v>20.67</v>
      </c>
      <c r="H10" s="11">
        <v>143.49</v>
      </c>
    </row>
    <row r="11" spans="1:8" x14ac:dyDescent="0.3">
      <c r="A11" s="10" t="s">
        <v>173</v>
      </c>
      <c r="B11" s="10" t="s">
        <v>180</v>
      </c>
      <c r="C11" s="10" t="s">
        <v>182</v>
      </c>
      <c r="D11" s="10" t="s">
        <v>151</v>
      </c>
      <c r="E11" s="11">
        <v>1202.5</v>
      </c>
      <c r="F11" s="11">
        <v>120.25</v>
      </c>
      <c r="G11" s="11">
        <v>136.24</v>
      </c>
      <c r="H11" s="11">
        <v>946.01</v>
      </c>
    </row>
    <row r="12" spans="1:8" x14ac:dyDescent="0.3">
      <c r="A12" s="10" t="s">
        <v>173</v>
      </c>
      <c r="B12" s="10" t="s">
        <v>183</v>
      </c>
      <c r="C12" s="10" t="s">
        <v>184</v>
      </c>
      <c r="D12" s="10" t="s">
        <v>151</v>
      </c>
      <c r="E12" s="10" t="s">
        <v>185</v>
      </c>
      <c r="F12" s="10" t="s">
        <v>185</v>
      </c>
      <c r="G12" s="10" t="s">
        <v>185</v>
      </c>
      <c r="H12" s="10" t="s">
        <v>185</v>
      </c>
    </row>
    <row r="13" spans="1:8" x14ac:dyDescent="0.3">
      <c r="A13" s="10" t="s">
        <v>173</v>
      </c>
      <c r="B13" s="10" t="s">
        <v>186</v>
      </c>
      <c r="C13" s="10" t="s">
        <v>184</v>
      </c>
      <c r="D13" s="10" t="s">
        <v>151</v>
      </c>
      <c r="E13" s="10" t="s">
        <v>185</v>
      </c>
      <c r="F13" s="10" t="s">
        <v>185</v>
      </c>
      <c r="G13" s="10" t="s">
        <v>185</v>
      </c>
      <c r="H13" s="10" t="s">
        <v>185</v>
      </c>
    </row>
    <row r="14" spans="1:8" x14ac:dyDescent="0.3">
      <c r="A14" s="10" t="s">
        <v>173</v>
      </c>
      <c r="B14" s="10" t="s">
        <v>24</v>
      </c>
      <c r="C14" s="10" t="s">
        <v>187</v>
      </c>
      <c r="D14" s="10" t="s">
        <v>151</v>
      </c>
      <c r="E14" s="11">
        <v>1301.1199999999999</v>
      </c>
      <c r="F14" s="11">
        <v>130.11000000000001</v>
      </c>
      <c r="G14" s="11">
        <v>147.41999999999999</v>
      </c>
      <c r="H14" s="11">
        <v>1023.59</v>
      </c>
    </row>
    <row r="15" spans="1:8" x14ac:dyDescent="0.3">
      <c r="A15" s="10" t="s">
        <v>173</v>
      </c>
      <c r="B15" s="10" t="s">
        <v>26</v>
      </c>
      <c r="C15" s="10" t="s">
        <v>187</v>
      </c>
      <c r="D15" s="10" t="s">
        <v>151</v>
      </c>
      <c r="E15" s="11">
        <v>1301.1199999999999</v>
      </c>
      <c r="F15" s="11">
        <v>130.11000000000001</v>
      </c>
      <c r="G15" s="11">
        <v>147.41999999999999</v>
      </c>
      <c r="H15" s="11">
        <v>1023.59</v>
      </c>
    </row>
    <row r="16" spans="1:8" x14ac:dyDescent="0.3">
      <c r="A16" s="10" t="s">
        <v>173</v>
      </c>
      <c r="B16" s="10" t="s">
        <v>188</v>
      </c>
      <c r="C16" s="10" t="s">
        <v>15</v>
      </c>
      <c r="D16" s="10" t="s">
        <v>151</v>
      </c>
      <c r="E16" s="11">
        <v>3385.3</v>
      </c>
      <c r="F16" s="11">
        <v>338.53</v>
      </c>
      <c r="G16" s="11">
        <v>383.55</v>
      </c>
      <c r="H16" s="11">
        <v>2663.22</v>
      </c>
    </row>
    <row r="17" spans="1:8" x14ac:dyDescent="0.3">
      <c r="A17" s="10" t="s">
        <v>142</v>
      </c>
      <c r="B17" s="10" t="s">
        <v>189</v>
      </c>
      <c r="C17" s="10" t="s">
        <v>143</v>
      </c>
      <c r="D17" s="10" t="s">
        <v>151</v>
      </c>
      <c r="E17" s="11">
        <v>2997.06</v>
      </c>
      <c r="F17" s="11">
        <v>299.70999999999998</v>
      </c>
      <c r="G17" s="11">
        <v>339.57</v>
      </c>
      <c r="H17" s="11">
        <v>2357.79</v>
      </c>
    </row>
    <row r="18" spans="1:8" x14ac:dyDescent="0.3">
      <c r="A18" s="10" t="s">
        <v>142</v>
      </c>
      <c r="B18" s="10" t="s">
        <v>189</v>
      </c>
      <c r="C18" s="10" t="s">
        <v>190</v>
      </c>
      <c r="D18" s="10" t="s">
        <v>151</v>
      </c>
      <c r="E18" s="11">
        <v>9098.8799999999992</v>
      </c>
      <c r="F18" s="11">
        <v>909.89</v>
      </c>
      <c r="G18" s="11">
        <v>1030.9000000000001</v>
      </c>
      <c r="H18" s="11">
        <v>7158.09</v>
      </c>
    </row>
    <row r="19" spans="1:8" x14ac:dyDescent="0.3">
      <c r="A19" s="10" t="s">
        <v>142</v>
      </c>
      <c r="B19" s="10" t="s">
        <v>189</v>
      </c>
      <c r="C19" s="10" t="s">
        <v>146</v>
      </c>
      <c r="D19" s="10" t="s">
        <v>151</v>
      </c>
      <c r="E19" s="11">
        <v>8613.02</v>
      </c>
      <c r="F19" s="11">
        <v>861.3</v>
      </c>
      <c r="G19" s="11">
        <v>975.86</v>
      </c>
      <c r="H19" s="11">
        <v>6775.86</v>
      </c>
    </row>
    <row r="20" spans="1:8" x14ac:dyDescent="0.3">
      <c r="A20" s="10" t="s">
        <v>142</v>
      </c>
      <c r="B20" s="10" t="s">
        <v>189</v>
      </c>
      <c r="C20" s="10" t="s">
        <v>147</v>
      </c>
      <c r="D20" s="10" t="s">
        <v>151</v>
      </c>
      <c r="E20" s="11">
        <v>3396.6</v>
      </c>
      <c r="F20" s="11">
        <v>339.66</v>
      </c>
      <c r="G20" s="11">
        <v>384.83</v>
      </c>
      <c r="H20" s="11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7D0C-05AA-4DC2-A95D-0F01933D4F85}">
  <dimension ref="A1:C14"/>
  <sheetViews>
    <sheetView workbookViewId="0">
      <selection sqref="A1:C3"/>
    </sheetView>
  </sheetViews>
  <sheetFormatPr defaultRowHeight="14.4" x14ac:dyDescent="0.3"/>
  <cols>
    <col min="1" max="1" width="17.44140625" bestFit="1" customWidth="1"/>
    <col min="2" max="2" width="36.21875" bestFit="1" customWidth="1"/>
    <col min="3" max="3" width="26.77734375" bestFit="1" customWidth="1"/>
  </cols>
  <sheetData>
    <row r="1" spans="1:3" x14ac:dyDescent="0.3">
      <c r="A1" s="7" t="s">
        <v>162</v>
      </c>
      <c r="B1" t="s">
        <v>163</v>
      </c>
      <c r="C1" t="s">
        <v>164</v>
      </c>
    </row>
    <row r="2" spans="1:3" x14ac:dyDescent="0.3">
      <c r="A2" s="8" t="s">
        <v>148</v>
      </c>
      <c r="B2" s="9">
        <v>334716.67832000001</v>
      </c>
      <c r="C2" s="9">
        <v>25966.215131999994</v>
      </c>
    </row>
    <row r="3" spans="1:3" x14ac:dyDescent="0.3">
      <c r="A3" s="8" t="s">
        <v>151</v>
      </c>
      <c r="B3" s="9">
        <v>311772.45000000013</v>
      </c>
      <c r="C3" s="9">
        <v>24783.780699999992</v>
      </c>
    </row>
    <row r="5" spans="1:3" x14ac:dyDescent="0.3">
      <c r="A5" s="7" t="s">
        <v>162</v>
      </c>
      <c r="B5" t="s">
        <v>163</v>
      </c>
      <c r="C5" t="s">
        <v>164</v>
      </c>
    </row>
    <row r="6" spans="1:3" x14ac:dyDescent="0.3">
      <c r="A6" s="8" t="s">
        <v>156</v>
      </c>
      <c r="B6" s="9">
        <v>3802.64</v>
      </c>
      <c r="C6" s="9">
        <v>380.26400000000001</v>
      </c>
    </row>
    <row r="7" spans="1:3" x14ac:dyDescent="0.3">
      <c r="A7" s="8" t="s">
        <v>155</v>
      </c>
      <c r="B7" s="9">
        <v>1936.44</v>
      </c>
      <c r="C7" s="9">
        <v>193.64400000000001</v>
      </c>
    </row>
    <row r="8" spans="1:3" x14ac:dyDescent="0.3">
      <c r="A8" s="8" t="s">
        <v>4</v>
      </c>
      <c r="B8" s="9">
        <v>41199.668320000012</v>
      </c>
      <c r="C8" s="9">
        <v>4119.9668320000001</v>
      </c>
    </row>
    <row r="9" spans="1:3" x14ac:dyDescent="0.3">
      <c r="A9" s="8" t="s">
        <v>129</v>
      </c>
      <c r="B9" s="9">
        <v>58476.01</v>
      </c>
      <c r="C9" s="9">
        <v>5847.6009999999997</v>
      </c>
    </row>
    <row r="10" spans="1:3" x14ac:dyDescent="0.3">
      <c r="A10" s="8" t="s">
        <v>99</v>
      </c>
      <c r="B10" s="9">
        <v>129470.60999999997</v>
      </c>
      <c r="C10" s="9">
        <v>12935.115</v>
      </c>
    </row>
    <row r="11" spans="1:3" x14ac:dyDescent="0.3">
      <c r="A11" s="8" t="s">
        <v>60</v>
      </c>
      <c r="B11" s="9">
        <v>240696.38000000006</v>
      </c>
      <c r="C11" s="9">
        <v>12034.818999999998</v>
      </c>
    </row>
    <row r="12" spans="1:3" x14ac:dyDescent="0.3">
      <c r="A12" s="8" t="s">
        <v>27</v>
      </c>
      <c r="B12" s="9">
        <v>26735.55</v>
      </c>
      <c r="C12" s="9">
        <v>2673.5550000000003</v>
      </c>
    </row>
    <row r="13" spans="1:3" x14ac:dyDescent="0.3">
      <c r="A13" s="8" t="s">
        <v>141</v>
      </c>
      <c r="B13" s="9">
        <v>51564.23</v>
      </c>
      <c r="C13" s="9">
        <v>5156.4230000000007</v>
      </c>
    </row>
    <row r="14" spans="1:3" x14ac:dyDescent="0.3">
      <c r="A14" s="8" t="s">
        <v>31</v>
      </c>
      <c r="B14" s="9">
        <v>92607.600000000049</v>
      </c>
      <c r="C14" s="9">
        <v>7408.6080000000002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8134-A9F1-4E6B-BF2F-DFB2119DFCA8}">
  <dimension ref="K4:Q4"/>
  <sheetViews>
    <sheetView showRowColHeaders="0" tabSelected="1" workbookViewId="0">
      <selection activeCell="H5" sqref="H5"/>
    </sheetView>
  </sheetViews>
  <sheetFormatPr defaultRowHeight="14.4" x14ac:dyDescent="0.3"/>
  <cols>
    <col min="1" max="16384" width="8.88671875" style="16"/>
  </cols>
  <sheetData>
    <row r="4" spans="11:17" ht="36.6" x14ac:dyDescent="0.7">
      <c r="K4" s="17" t="s">
        <v>191</v>
      </c>
      <c r="L4" s="17"/>
      <c r="M4" s="17"/>
      <c r="N4" s="17"/>
      <c r="O4" s="17"/>
      <c r="P4" s="17"/>
      <c r="Q4" s="17"/>
    </row>
  </sheetData>
  <mergeCells count="1">
    <mergeCell ref="K4:Q4"/>
  </mergeCell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FATURAMENTO Á RECEBER</vt:lpstr>
      <vt:lpstr>REPASSE</vt:lpstr>
      <vt:lpstr>ORG. GRAF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2026-01-27T13:19:19Z</cp:lastPrinted>
  <dcterms:created xsi:type="dcterms:W3CDTF">2025-12-17T14:49:03Z</dcterms:created>
  <dcterms:modified xsi:type="dcterms:W3CDTF">2026-01-28T19:23:14Z</dcterms:modified>
</cp:coreProperties>
</file>